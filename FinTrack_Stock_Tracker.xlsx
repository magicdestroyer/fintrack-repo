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th IRA" sheetId="3" state="visible" r:id="rId3"/>
    <sheet xmlns:r="http://schemas.openxmlformats.org/officeDocument/2006/relationships" name="US Stocks" sheetId="4" state="visible" r:id="rId4"/>
    <sheet xmlns:r="http://schemas.openxmlformats.org/officeDocument/2006/relationships" name="ETFs" sheetId="5" state="visible" r:id="rId5"/>
    <sheet xmlns:r="http://schemas.openxmlformats.org/officeDocument/2006/relationships" name="International" sheetId="6" state="visible" r:id="rId6"/>
    <sheet xmlns:r="http://schemas.openxmlformats.org/officeDocument/2006/relationships" name="Crypto" sheetId="7" state="visible" r:id="rId7"/>
    <sheet xmlns:r="http://schemas.openxmlformats.org/officeDocument/2006/relationships" name="Pric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.00;($#,##0.00);-"/>
    <numFmt numFmtId="166" formatCode="0.00%;(0.00%);-"/>
    <numFmt numFmtId="167" formatCode="0.0%"/>
    <numFmt numFmtId="168" formatCode="#,##0.000"/>
  </numFmts>
  <fonts count="29">
    <font>
      <name val="Calibri"/>
      <family val="2"/>
      <color theme="1"/>
      <sz val="11"/>
      <scheme val="minor"/>
    </font>
    <font>
      <name val="Arial"/>
      <b val="1"/>
      <color rgb="003CEFB0"/>
      <sz val="16"/>
    </font>
    <font>
      <name val="Arial"/>
      <color rgb="00E8EDF5"/>
      <sz val="10"/>
    </font>
    <font>
      <name val="Arial"/>
      <b val="1"/>
      <color rgb="003CEFB0"/>
      <sz val="11"/>
    </font>
    <font>
      <name val="Arial"/>
      <color rgb="000000FF"/>
      <sz val="10"/>
    </font>
    <font>
      <name val="Arial"/>
      <color rgb="003CEFB0"/>
      <sz val="10"/>
    </font>
    <font>
      <name val="Arial"/>
      <color rgb="007A8499"/>
      <sz val="9"/>
    </font>
    <font>
      <name val="Arial"/>
      <b val="1"/>
      <color rgb="000D0F12"/>
      <sz val="10"/>
    </font>
    <font>
      <name val="Arial"/>
      <b val="1"/>
      <color rgb="003CEFB0"/>
      <sz val="10"/>
    </font>
    <font>
      <name val="Courier New"/>
      <color rgb="00000000"/>
      <sz val="10"/>
    </font>
    <font>
      <name val="Arial"/>
      <b val="1"/>
      <color rgb="004E9EFF"/>
      <sz val="10"/>
    </font>
    <font>
      <name val="Arial"/>
      <b val="1"/>
      <color rgb="00B78FFF"/>
      <sz val="10"/>
    </font>
    <font>
      <name val="Arial"/>
      <b val="1"/>
      <color rgb="00FF8C42"/>
      <sz val="10"/>
    </font>
    <font>
      <name val="Arial"/>
      <b val="1"/>
      <color rgb="00F59E0B"/>
      <sz val="10"/>
    </font>
    <font>
      <name val="Courier New"/>
      <b val="1"/>
      <color rgb="003CEFB0"/>
      <sz val="11"/>
    </font>
    <font>
      <name val="Arial"/>
      <b val="1"/>
      <color rgb="003CEFB0"/>
      <sz val="14"/>
    </font>
    <font>
      <name val="Courier New"/>
      <b val="1"/>
      <color rgb="003CEFB0"/>
      <sz val="10"/>
    </font>
    <font>
      <name val="Courier New"/>
      <color rgb="000000FF"/>
      <sz val="10"/>
    </font>
    <font>
      <name val="Courier New"/>
      <color rgb="002A3245"/>
      <sz val="10"/>
    </font>
    <font>
      <name val="Arial"/>
      <b val="1"/>
      <color rgb="004E9EFF"/>
      <sz val="14"/>
    </font>
    <font>
      <name val="Courier New"/>
      <b val="1"/>
      <color rgb="004E9EFF"/>
      <sz val="10"/>
    </font>
    <font>
      <name val="Arial"/>
      <b val="1"/>
      <color rgb="00B78FFF"/>
      <sz val="14"/>
    </font>
    <font>
      <name val="Courier New"/>
      <b val="1"/>
      <color rgb="00B78FFF"/>
      <sz val="10"/>
    </font>
    <font>
      <name val="Arial"/>
      <b val="1"/>
      <color rgb="00FF8C42"/>
      <sz val="14"/>
    </font>
    <font>
      <name val="Courier New"/>
      <b val="1"/>
      <color rgb="00FF8C42"/>
      <sz val="10"/>
    </font>
    <font>
      <name val="Arial"/>
      <b val="1"/>
      <color rgb="00F59E0B"/>
      <sz val="14"/>
    </font>
    <font>
      <name val="Courier New"/>
      <b val="1"/>
      <color rgb="00F59E0B"/>
      <sz val="10"/>
    </font>
    <font>
      <name val="Arial"/>
      <b val="1"/>
      <color rgb="00FF8C42"/>
      <sz val="13"/>
    </font>
    <font>
      <name val="Arial"/>
      <color rgb="007A8499"/>
      <sz val="10"/>
    </font>
  </fonts>
  <fills count="11">
    <fill>
      <patternFill/>
    </fill>
    <fill>
      <patternFill patternType="gray125"/>
    </fill>
    <fill>
      <patternFill patternType="solid">
        <fgColor rgb="000D0F12"/>
      </patternFill>
    </fill>
    <fill>
      <patternFill patternType="solid">
        <fgColor rgb="003CEFB0"/>
      </patternFill>
    </fill>
    <fill>
      <patternFill patternType="solid">
        <fgColor rgb="00151920"/>
      </patternFill>
    </fill>
    <fill>
      <patternFill patternType="solid">
        <fgColor rgb="001C2330"/>
      </patternFill>
    </fill>
    <fill>
      <patternFill patternType="solid">
        <fgColor rgb="001a2510"/>
      </patternFill>
    </fill>
    <fill>
      <patternFill patternType="solid">
        <fgColor rgb="004E9EFF"/>
      </patternFill>
    </fill>
    <fill>
      <patternFill patternType="solid">
        <fgColor rgb="00B78FFF"/>
      </patternFill>
    </fill>
    <fill>
      <patternFill patternType="solid">
        <fgColor rgb="00FF8C42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2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right" vertical="center"/>
    </xf>
    <xf numFmtId="165" fontId="9" fillId="4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3" fontId="9" fillId="4" borderId="0" applyAlignment="1" pivotButton="0" quotePrefix="0" xfId="0">
      <alignment horizontal="right" vertical="center"/>
    </xf>
    <xf numFmtId="167" fontId="9" fillId="4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66" fontId="9" fillId="2" borderId="0" applyAlignment="1" pivotButton="0" quotePrefix="0" xfId="0">
      <alignment horizontal="right" vertical="center"/>
    </xf>
    <xf numFmtId="3" fontId="9" fillId="2" borderId="0" applyAlignment="1" pivotButton="0" quotePrefix="0" xfId="0">
      <alignment horizontal="right" vertical="center"/>
    </xf>
    <xf numFmtId="167" fontId="9" fillId="2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3" fillId="5" borderId="0" pivotButton="0" quotePrefix="0" xfId="0"/>
    <xf numFmtId="164" fontId="14" fillId="5" borderId="0" applyAlignment="1" pivotButton="0" quotePrefix="0" xfId="0">
      <alignment horizontal="right" vertical="center"/>
    </xf>
    <xf numFmtId="165" fontId="14" fillId="5" borderId="0" applyAlignment="1" pivotButton="0" quotePrefix="0" xfId="0">
      <alignment horizontal="right" vertical="center"/>
    </xf>
    <xf numFmtId="166" fontId="14" fillId="5" borderId="0" applyAlignment="1" pivotButton="0" quotePrefix="0" xfId="0">
      <alignment horizontal="right" vertical="center"/>
    </xf>
    <xf numFmtId="0" fontId="0" fillId="2" borderId="0" pivotButton="0" quotePrefix="0" xfId="0"/>
    <xf numFmtId="0" fontId="1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16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8" fontId="17" fillId="4" borderId="0" applyAlignment="1" pivotButton="0" quotePrefix="0" xfId="0">
      <alignment horizontal="right" vertical="center"/>
    </xf>
    <xf numFmtId="164" fontId="17" fillId="4" borderId="0" applyAlignment="1" pivotButton="0" quotePrefix="0" xfId="0">
      <alignment horizontal="right" vertical="center"/>
    </xf>
    <xf numFmtId="164" fontId="17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168" fontId="17" fillId="2" borderId="0" applyAlignment="1" pivotButton="0" quotePrefix="0" xfId="0">
      <alignment horizontal="right" vertical="center"/>
    </xf>
    <xf numFmtId="164" fontId="1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165" fontId="16" fillId="5" borderId="0" applyAlignment="1" pivotButton="0" quotePrefix="0" xfId="0">
      <alignment horizontal="right" vertical="center"/>
    </xf>
    <xf numFmtId="166" fontId="16" fillId="5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right" vertical="center"/>
    </xf>
    <xf numFmtId="165" fontId="20" fillId="5" borderId="0" applyAlignment="1" pivotButton="0" quotePrefix="0" xfId="0">
      <alignment horizontal="right" vertical="center"/>
    </xf>
    <xf numFmtId="166" fontId="20" fillId="5" borderId="0" applyAlignment="1" pivotButton="0" quotePrefix="0" xfId="0">
      <alignment horizontal="right" vertical="center"/>
    </xf>
    <xf numFmtId="0" fontId="21" fillId="2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/>
    </xf>
    <xf numFmtId="165" fontId="22" fillId="5" borderId="0" applyAlignment="1" pivotButton="0" quotePrefix="0" xfId="0">
      <alignment horizontal="right" vertical="center"/>
    </xf>
    <xf numFmtId="166" fontId="22" fillId="5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right" vertical="center"/>
    </xf>
    <xf numFmtId="165" fontId="24" fillId="5" borderId="0" applyAlignment="1" pivotButton="0" quotePrefix="0" xfId="0">
      <alignment horizontal="right" vertical="center"/>
    </xf>
    <xf numFmtId="166" fontId="24" fillId="5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right" vertical="center"/>
    </xf>
    <xf numFmtId="165" fontId="26" fillId="5" borderId="0" applyAlignment="1" pivotButton="0" quotePrefix="0" xfId="0">
      <alignment horizontal="right" vertical="center"/>
    </xf>
    <xf numFmtId="166" fontId="26" fillId="5" borderId="0" applyAlignment="1" pivotButton="0" quotePrefix="0" xfId="0">
      <alignment horizontal="right" vertical="center"/>
    </xf>
    <xf numFmtId="0" fontId="27" fillId="2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A8499"/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40" customHeight="1">
      <c r="A1" s="1" t="inlineStr">
        <is>
          <t>FinTrack Stock Tracker — README</t>
        </is>
      </c>
    </row>
    <row r="2" ht="14" customHeight="1">
      <c r="A2" s="2" t="inlineStr"/>
    </row>
    <row r="3" ht="22" customHeight="1">
      <c r="A3" s="3" t="inlineStr">
        <is>
          <t>HOW TO USE THIS WORKBOOK</t>
        </is>
      </c>
    </row>
    <row r="4" ht="20" customHeight="1">
      <c r="A4" s="2" t="inlineStr">
        <is>
          <t>1. Enter your holdings on the relevant market sheet (Roth IRA, US Stocks, ETFs, etc.)</t>
        </is>
      </c>
    </row>
    <row r="5" ht="20" customHeight="1">
      <c r="A5" s="2" t="inlineStr">
        <is>
          <t>2. Blue cells are inputs — fill in Ticker, Company, Shares, Buy Price, and Current Price</t>
        </is>
      </c>
    </row>
    <row r="6" ht="20" customHeight="1">
      <c r="A6" s="2" t="inlineStr">
        <is>
          <t>3. Black cells are formulas — they calculate automatically, do not edit them</t>
        </is>
      </c>
    </row>
    <row r="7" ht="20" customHeight="1">
      <c r="A7" s="2" t="inlineStr">
        <is>
          <t>4. Update Current Price regularly (use the Price Log sheet to track updates)</t>
        </is>
      </c>
    </row>
    <row r="8" ht="20" customHeight="1">
      <c r="A8" s="2" t="inlineStr">
        <is>
          <t>5. The Summary sheet pulls totals from all market sheets automatically</t>
        </is>
      </c>
    </row>
    <row r="9" ht="14" customHeight="1">
      <c r="A9" s="2" t="inlineStr"/>
    </row>
    <row r="10" ht="22" customHeight="1">
      <c r="A10" s="3" t="inlineStr">
        <is>
          <t>COLOR GUIDE</t>
        </is>
      </c>
    </row>
    <row r="11" ht="20" customHeight="1">
      <c r="A11" s="4" t="inlineStr">
        <is>
          <t>Blue text = hardcoded input (you enter this)</t>
        </is>
      </c>
    </row>
    <row r="12" ht="20" customHeight="1">
      <c r="A12" s="2" t="inlineStr">
        <is>
          <t>Black text = calculated formula (auto)</t>
        </is>
      </c>
    </row>
    <row r="13" ht="20" customHeight="1">
      <c r="A13" s="5" t="inlineStr">
        <is>
          <t>Green text = cross-sheet reference</t>
        </is>
      </c>
    </row>
    <row r="14" ht="14" customHeight="1">
      <c r="A14" s="2" t="inlineStr"/>
    </row>
    <row r="15" ht="22" customHeight="1">
      <c r="A15" s="3" t="inlineStr">
        <is>
          <t>MARKET SHEETS</t>
        </is>
      </c>
    </row>
    <row r="16" ht="20" customHeight="1">
      <c r="A16" s="2" t="inlineStr">
        <is>
          <t>Roth IRA — Tax-free retirement account holdings (pre-loaded with your stocks)</t>
        </is>
      </c>
    </row>
    <row r="17" ht="20" customHeight="1">
      <c r="A17" s="2" t="inlineStr">
        <is>
          <t>US Stocks — Individual US stock positions</t>
        </is>
      </c>
    </row>
    <row r="18" ht="20" customHeight="1">
      <c r="A18" s="2" t="inlineStr">
        <is>
          <t>ETFs — Exchange-traded fund positions</t>
        </is>
      </c>
    </row>
    <row r="19" ht="20" customHeight="1">
      <c r="A19" s="2" t="inlineStr">
        <is>
          <t>International — Non-US market positions</t>
        </is>
      </c>
    </row>
    <row r="20" ht="20" customHeight="1">
      <c r="A20" s="2" t="inlineStr">
        <is>
          <t>Crypto — Cryptocurrency holdings</t>
        </is>
      </c>
    </row>
    <row r="21" ht="14" customHeight="1">
      <c r="A21" s="2" t="inlineStr"/>
    </row>
    <row r="22" ht="22" customHeight="1">
      <c r="A22" s="3" t="inlineStr">
        <is>
          <t>INTEGRATING WITH FINTRACK DASHBOARD</t>
        </is>
      </c>
    </row>
    <row r="23" ht="20" customHeight="1">
      <c r="A23" s="2" t="inlineStr">
        <is>
          <t>Export this file as CSV per sheet and import into the dashboard Stock Portfolio section.</t>
        </is>
      </c>
    </row>
    <row r="24" ht="20" customHeight="1">
      <c r="A24" s="2" t="inlineStr">
        <is>
          <t>Or manually update Current Price on each card in the dashboard — both stay in sync.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CEFB0"/>
    <outlinePr summaryBelow="1" summaryRight="1"/>
    <pageSetUpPr/>
  </sheetPr>
  <dimension ref="A1:H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6" customWidth="1" min="5" max="5"/>
    <col width="12" customWidth="1" min="6" max="6"/>
    <col width="16" customWidth="1" min="7" max="7"/>
  </cols>
  <sheetData>
    <row r="1" ht="40" customHeight="1">
      <c r="A1" s="1" t="inlineStr">
        <is>
          <t>FinTrack — Portfolio Summary</t>
        </is>
      </c>
    </row>
    <row r="2" ht="18" customHeight="1">
      <c r="A2" s="6" t="inlineStr">
        <is>
          <t>Auto-calculated from all market sheets — update Current Price on each sheet to refresh</t>
        </is>
      </c>
    </row>
    <row r="3" ht="28" customHeight="1">
      <c r="A3" s="7" t="inlineStr">
        <is>
          <t>Market</t>
        </is>
      </c>
      <c r="B3" s="7" t="inlineStr">
        <is>
          <t>Total Cost ($)</t>
        </is>
      </c>
      <c r="C3" s="7" t="inlineStr">
        <is>
          <t>Current Value ($)</t>
        </is>
      </c>
      <c r="D3" s="7" t="inlineStr">
        <is>
          <t>Gain / Loss ($)</t>
        </is>
      </c>
      <c r="E3" s="7" t="inlineStr">
        <is>
          <t>Gain / Loss (%)</t>
        </is>
      </c>
      <c r="F3" s="7" t="inlineStr">
        <is>
          <t># Holdings</t>
        </is>
      </c>
      <c r="G3" s="7" t="inlineStr">
        <is>
          <t>% of Portfolio</t>
        </is>
      </c>
    </row>
    <row r="4" ht="24" customHeight="1">
      <c r="A4" s="8" t="inlineStr">
        <is>
          <t>Roth IRA</t>
        </is>
      </c>
      <c r="B4" s="9">
        <f>'Roth IRA'!F24</f>
        <v/>
      </c>
      <c r="C4" s="9">
        <f>'Roth IRA'!G24</f>
        <v/>
      </c>
      <c r="D4" s="10">
        <f>'Roth IRA'!H24</f>
        <v/>
      </c>
      <c r="E4" s="11">
        <f>'Roth IRA'!I24</f>
        <v/>
      </c>
      <c r="F4" s="12">
        <f>COUNTA('Roth IRA'!A4:A23)</f>
        <v/>
      </c>
      <c r="G4" s="13">
        <f>IF(SUM(C4:C8)=0,"",C4/SUM(C4:C8))</f>
        <v/>
      </c>
    </row>
    <row r="5" ht="24" customHeight="1">
      <c r="A5" s="14" t="inlineStr">
        <is>
          <t>US Stocks</t>
        </is>
      </c>
      <c r="B5" s="15">
        <f>'US Stocks'!F24</f>
        <v/>
      </c>
      <c r="C5" s="15">
        <f>'US Stocks'!G24</f>
        <v/>
      </c>
      <c r="D5" s="16">
        <f>'US Stocks'!H24</f>
        <v/>
      </c>
      <c r="E5" s="17">
        <f>'US Stocks'!I24</f>
        <v/>
      </c>
      <c r="F5" s="18">
        <f>COUNTA('US Stocks'!A4:A23)</f>
        <v/>
      </c>
      <c r="G5" s="19">
        <f>IF(SUM(C4:C8)=0,"",C5/SUM(C4:C8))</f>
        <v/>
      </c>
    </row>
    <row r="6" ht="24" customHeight="1">
      <c r="A6" s="20" t="inlineStr">
        <is>
          <t>ETFs</t>
        </is>
      </c>
      <c r="B6" s="9">
        <f>'ETFs'!F24</f>
        <v/>
      </c>
      <c r="C6" s="9">
        <f>'ETFs'!G24</f>
        <v/>
      </c>
      <c r="D6" s="10">
        <f>'ETFs'!H24</f>
        <v/>
      </c>
      <c r="E6" s="11">
        <f>'ETFs'!I24</f>
        <v/>
      </c>
      <c r="F6" s="12">
        <f>COUNTA('ETFs'!A4:A23)</f>
        <v/>
      </c>
      <c r="G6" s="13">
        <f>IF(SUM(C4:C8)=0,"",C6/SUM(C4:C8))</f>
        <v/>
      </c>
    </row>
    <row r="7" ht="24" customHeight="1">
      <c r="A7" s="21" t="inlineStr">
        <is>
          <t>International</t>
        </is>
      </c>
      <c r="B7" s="15">
        <f>'International'!F24</f>
        <v/>
      </c>
      <c r="C7" s="15">
        <f>'International'!G24</f>
        <v/>
      </c>
      <c r="D7" s="16">
        <f>'International'!H24</f>
        <v/>
      </c>
      <c r="E7" s="17">
        <f>'International'!I24</f>
        <v/>
      </c>
      <c r="F7" s="18">
        <f>COUNTA('International'!A4:A23)</f>
        <v/>
      </c>
      <c r="G7" s="19">
        <f>IF(SUM(C4:C8)=0,"",C7/SUM(C4:C8))</f>
        <v/>
      </c>
    </row>
    <row r="8" ht="24" customHeight="1">
      <c r="A8" s="22" t="inlineStr">
        <is>
          <t>Crypto</t>
        </is>
      </c>
      <c r="B8" s="9">
        <f>'Crypto'!F24</f>
        <v/>
      </c>
      <c r="C8" s="9">
        <f>'Crypto'!G24</f>
        <v/>
      </c>
      <c r="D8" s="10">
        <f>'Crypto'!H24</f>
        <v/>
      </c>
      <c r="E8" s="11">
        <f>'Crypto'!I24</f>
        <v/>
      </c>
      <c r="F8" s="12">
        <f>COUNTA('Crypto'!A4:A23)</f>
        <v/>
      </c>
      <c r="G8" s="13">
        <f>IF(SUM(C4:C8)=0,"",C8/SUM(C4:C8))</f>
        <v/>
      </c>
    </row>
    <row r="9" ht="28" customHeight="1">
      <c r="A9" s="23" t="inlineStr">
        <is>
          <t>GRAND TOTAL</t>
        </is>
      </c>
      <c r="B9" s="24">
        <f>SUM(B4:B8)</f>
        <v/>
      </c>
      <c r="C9" s="24">
        <f>SUM(C4:C8)</f>
        <v/>
      </c>
      <c r="D9" s="25">
        <f>SUM(D4:D8)</f>
        <v/>
      </c>
      <c r="E9" s="26">
        <f>IF(B9=0,"",D9/B9)</f>
        <v/>
      </c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CEFB0"/>
    <outlinePr summaryBelow="1" summaryRight="1"/>
    <pageSetUpPr/>
  </sheetPr>
  <dimension ref="A1:J20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28" customWidth="1" min="10" max="10"/>
  </cols>
  <sheetData>
    <row r="1" ht="36" customHeight="1">
      <c r="A1" s="28" t="inlineStr">
        <is>
          <t>📊  Roth IRA  —  Stock &amp; ETF Tracker</t>
        </is>
      </c>
    </row>
    <row r="2" ht="18" customHeight="1">
      <c r="A2" s="29" t="inlineStr">
        <is>
          <t>Blue = hardcoded inputs (edit these)  |  Black = formulas (auto-calculated)  |  Green = cross-sheet links</t>
        </is>
      </c>
    </row>
    <row r="3" ht="28" customHeight="1">
      <c r="A3" s="7" t="inlineStr">
        <is>
          <t>Ticker</t>
        </is>
      </c>
      <c r="B3" s="7" t="inlineStr">
        <is>
          <t>Company / Name</t>
        </is>
      </c>
      <c r="C3" s="7" t="inlineStr">
        <is>
          <t>Shares</t>
        </is>
      </c>
      <c r="D3" s="7" t="inlineStr">
        <is>
          <t>Buy Price ($)</t>
        </is>
      </c>
      <c r="E3" s="7" t="inlineStr">
        <is>
          <t>Current Price ($)</t>
        </is>
      </c>
      <c r="F3" s="7" t="inlineStr">
        <is>
          <t>Total Cost ($)</t>
        </is>
      </c>
      <c r="G3" s="7" t="inlineStr">
        <is>
          <t>Current Value ($)</t>
        </is>
      </c>
      <c r="H3" s="7" t="inlineStr">
        <is>
          <t>Gain / Loss ($)</t>
        </is>
      </c>
      <c r="I3" s="7" t="inlineStr">
        <is>
          <t>Gain / Loss (%)</t>
        </is>
      </c>
      <c r="J3" s="7" t="inlineStr">
        <is>
          <t>Notes</t>
        </is>
      </c>
    </row>
    <row r="4" ht="22" customHeight="1">
      <c r="A4" s="30" t="inlineStr">
        <is>
          <t>SCHB</t>
        </is>
      </c>
      <c r="B4" s="31" t="inlineStr">
        <is>
          <t>Schwab US Broad Market ETF</t>
        </is>
      </c>
      <c r="C4" s="32" t="n">
        <v>12</v>
      </c>
      <c r="D4" s="33" t="n">
        <v>56</v>
      </c>
      <c r="E4" s="34" t="n">
        <v>56</v>
      </c>
      <c r="F4" s="9">
        <f>IF(C4="","",C4*D4)</f>
        <v/>
      </c>
      <c r="G4" s="9">
        <f>IF(C4="","",C4*E4)</f>
        <v/>
      </c>
      <c r="H4" s="10">
        <f>IF(C4="","",G4-F4)</f>
        <v/>
      </c>
      <c r="I4" s="11">
        <f>IF(OR(C4="",F4=0),"",H4/F4)</f>
        <v/>
      </c>
      <c r="J4" s="35" t="n"/>
    </row>
    <row r="5" ht="22" customHeight="1">
      <c r="A5" s="36" t="inlineStr">
        <is>
          <t>SCHF</t>
        </is>
      </c>
      <c r="B5" s="37" t="inlineStr">
        <is>
          <t>Schwab International Equity ETF</t>
        </is>
      </c>
      <c r="C5" s="38" t="n">
        <v>8</v>
      </c>
      <c r="D5" s="39" t="n">
        <v>35.5</v>
      </c>
      <c r="E5" s="34" t="n">
        <v>35.5</v>
      </c>
      <c r="F5" s="15">
        <f>IF(C5="","",C5*D5)</f>
        <v/>
      </c>
      <c r="G5" s="15">
        <f>IF(C5="","",C5*E5)</f>
        <v/>
      </c>
      <c r="H5" s="16">
        <f>IF(C5="","",G5-F5)</f>
        <v/>
      </c>
      <c r="I5" s="17">
        <f>IF(OR(C5="",F5=0),"",H5/F5)</f>
        <v/>
      </c>
      <c r="J5" s="40" t="n"/>
    </row>
    <row r="6" ht="22" customHeight="1">
      <c r="A6" s="30" t="inlineStr">
        <is>
          <t>CHPY</t>
        </is>
      </c>
      <c r="B6" s="31" t="inlineStr">
        <is>
          <t>YieldMax Semiconductor Portfolio</t>
        </is>
      </c>
      <c r="C6" s="32" t="n">
        <v>12</v>
      </c>
      <c r="D6" s="33" t="n">
        <v>56</v>
      </c>
      <c r="E6" s="34" t="n">
        <v>56</v>
      </c>
      <c r="F6" s="9">
        <f>IF(C6="","",C6*D6)</f>
        <v/>
      </c>
      <c r="G6" s="9">
        <f>IF(C6="","",C6*E6)</f>
        <v/>
      </c>
      <c r="H6" s="10">
        <f>IF(C6="","",G6-F6)</f>
        <v/>
      </c>
      <c r="I6" s="11">
        <f>IF(OR(C6="",F6=0),"",H6/F6)</f>
        <v/>
      </c>
      <c r="J6" s="35" t="n"/>
    </row>
    <row r="7" ht="22" customHeight="1">
      <c r="A7" s="41" t="n"/>
      <c r="B7" s="42" t="n"/>
      <c r="C7" s="43" t="n"/>
      <c r="D7" s="43" t="n"/>
      <c r="E7" s="43" t="n"/>
      <c r="F7" s="42" t="n"/>
      <c r="G7" s="42" t="n"/>
      <c r="H7" s="42" t="n"/>
      <c r="I7" s="42" t="n"/>
      <c r="J7" s="42" t="n"/>
    </row>
    <row r="8" ht="22" customHeight="1">
      <c r="A8" s="44" t="n"/>
      <c r="B8" s="45" t="n"/>
      <c r="C8" s="46" t="n"/>
      <c r="D8" s="46" t="n"/>
      <c r="E8" s="46" t="n"/>
      <c r="F8" s="45" t="n"/>
      <c r="G8" s="45" t="n"/>
      <c r="H8" s="45" t="n"/>
      <c r="I8" s="45" t="n"/>
      <c r="J8" s="45" t="n"/>
    </row>
    <row r="9" ht="22" customHeight="1">
      <c r="A9" s="41" t="n"/>
      <c r="B9" s="42" t="n"/>
      <c r="C9" s="43" t="n"/>
      <c r="D9" s="43" t="n"/>
      <c r="E9" s="43" t="n"/>
      <c r="F9" s="42" t="n"/>
      <c r="G9" s="42" t="n"/>
      <c r="H9" s="42" t="n"/>
      <c r="I9" s="42" t="n"/>
      <c r="J9" s="42" t="n"/>
    </row>
    <row r="10" ht="22" customHeight="1">
      <c r="A10" s="44" t="n"/>
      <c r="B10" s="45" t="n"/>
      <c r="C10" s="46" t="n"/>
      <c r="D10" s="46" t="n"/>
      <c r="E10" s="46" t="n"/>
      <c r="F10" s="45" t="n"/>
      <c r="G10" s="45" t="n"/>
      <c r="H10" s="45" t="n"/>
      <c r="I10" s="45" t="n"/>
      <c r="J10" s="45" t="n"/>
    </row>
    <row r="11" ht="22" customHeight="1">
      <c r="A11" s="41" t="n"/>
      <c r="B11" s="42" t="n"/>
      <c r="C11" s="43" t="n"/>
      <c r="D11" s="43" t="n"/>
      <c r="E11" s="43" t="n"/>
      <c r="F11" s="42" t="n"/>
      <c r="G11" s="42" t="n"/>
      <c r="H11" s="42" t="n"/>
      <c r="I11" s="42" t="n"/>
      <c r="J11" s="42" t="n"/>
    </row>
    <row r="12" ht="22" customHeight="1">
      <c r="A12" s="44" t="n"/>
      <c r="B12" s="45" t="n"/>
      <c r="C12" s="46" t="n"/>
      <c r="D12" s="46" t="n"/>
      <c r="E12" s="46" t="n"/>
      <c r="F12" s="45" t="n"/>
      <c r="G12" s="45" t="n"/>
      <c r="H12" s="45" t="n"/>
      <c r="I12" s="45" t="n"/>
      <c r="J12" s="45" t="n"/>
    </row>
    <row r="13" ht="22" customHeight="1">
      <c r="A13" s="41" t="n"/>
      <c r="B13" s="42" t="n"/>
      <c r="C13" s="43" t="n"/>
      <c r="D13" s="43" t="n"/>
      <c r="E13" s="43" t="n"/>
      <c r="F13" s="42" t="n"/>
      <c r="G13" s="42" t="n"/>
      <c r="H13" s="42" t="n"/>
      <c r="I13" s="42" t="n"/>
      <c r="J13" s="42" t="n"/>
    </row>
    <row r="14" ht="22" customHeight="1">
      <c r="A14" s="44" t="n"/>
      <c r="B14" s="45" t="n"/>
      <c r="C14" s="46" t="n"/>
      <c r="D14" s="46" t="n"/>
      <c r="E14" s="46" t="n"/>
      <c r="F14" s="45" t="n"/>
      <c r="G14" s="45" t="n"/>
      <c r="H14" s="45" t="n"/>
      <c r="I14" s="45" t="n"/>
      <c r="J14" s="45" t="n"/>
    </row>
    <row r="15" ht="22" customHeight="1">
      <c r="A15" s="41" t="n"/>
      <c r="B15" s="42" t="n"/>
      <c r="C15" s="43" t="n"/>
      <c r="D15" s="43" t="n"/>
      <c r="E15" s="43" t="n"/>
      <c r="F15" s="42" t="n"/>
      <c r="G15" s="42" t="n"/>
      <c r="H15" s="42" t="n"/>
      <c r="I15" s="42" t="n"/>
      <c r="J15" s="42" t="n"/>
    </row>
    <row r="16" ht="22" customHeight="1">
      <c r="A16" s="44" t="n"/>
      <c r="B16" s="45" t="n"/>
      <c r="C16" s="46" t="n"/>
      <c r="D16" s="46" t="n"/>
      <c r="E16" s="46" t="n"/>
      <c r="F16" s="45" t="n"/>
      <c r="G16" s="45" t="n"/>
      <c r="H16" s="45" t="n"/>
      <c r="I16" s="45" t="n"/>
      <c r="J16" s="45" t="n"/>
    </row>
    <row r="17" ht="22" customHeight="1">
      <c r="A17" s="41" t="n"/>
      <c r="B17" s="42" t="n"/>
      <c r="C17" s="43" t="n"/>
      <c r="D17" s="43" t="n"/>
      <c r="E17" s="43" t="n"/>
      <c r="F17" s="42" t="n"/>
      <c r="G17" s="42" t="n"/>
      <c r="H17" s="42" t="n"/>
      <c r="I17" s="42" t="n"/>
      <c r="J17" s="42" t="n"/>
    </row>
    <row r="18" ht="22" customHeight="1">
      <c r="A18" s="44" t="n"/>
      <c r="B18" s="45" t="n"/>
      <c r="C18" s="46" t="n"/>
      <c r="D18" s="46" t="n"/>
      <c r="E18" s="46" t="n"/>
      <c r="F18" s="45" t="n"/>
      <c r="G18" s="45" t="n"/>
      <c r="H18" s="45" t="n"/>
      <c r="I18" s="45" t="n"/>
      <c r="J18" s="45" t="n"/>
    </row>
    <row r="19" ht="22" customHeight="1">
      <c r="A19" s="41" t="n"/>
      <c r="B19" s="42" t="n"/>
      <c r="C19" s="43" t="n"/>
      <c r="D19" s="43" t="n"/>
      <c r="E19" s="43" t="n"/>
      <c r="F19" s="42" t="n"/>
      <c r="G19" s="42" t="n"/>
      <c r="H19" s="42" t="n"/>
      <c r="I19" s="42" t="n"/>
      <c r="J19" s="42" t="n"/>
    </row>
    <row r="20" ht="22" customHeight="1">
      <c r="A20" s="44" t="n"/>
      <c r="B20" s="45" t="n"/>
      <c r="C20" s="46" t="n"/>
      <c r="D20" s="46" t="n"/>
      <c r="E20" s="46" t="n"/>
      <c r="F20" s="45" t="n"/>
      <c r="G20" s="45" t="n"/>
      <c r="H20" s="45" t="n"/>
      <c r="I20" s="45" t="n"/>
      <c r="J20" s="45" t="n"/>
    </row>
    <row r="21" ht="22" customHeight="1">
      <c r="A21" s="41" t="n"/>
      <c r="B21" s="42" t="n"/>
      <c r="C21" s="43" t="n"/>
      <c r="D21" s="43" t="n"/>
      <c r="E21" s="43" t="n"/>
      <c r="F21" s="42" t="n"/>
      <c r="G21" s="42" t="n"/>
      <c r="H21" s="42" t="n"/>
      <c r="I21" s="42" t="n"/>
      <c r="J21" s="42" t="n"/>
    </row>
    <row r="22" ht="22" customHeight="1">
      <c r="A22" s="44" t="n"/>
      <c r="B22" s="45" t="n"/>
      <c r="C22" s="46" t="n"/>
      <c r="D22" s="46" t="n"/>
      <c r="E22" s="46" t="n"/>
      <c r="F22" s="45" t="n"/>
      <c r="G22" s="45" t="n"/>
      <c r="H22" s="45" t="n"/>
      <c r="I22" s="45" t="n"/>
      <c r="J22" s="45" t="n"/>
    </row>
    <row r="23" ht="22" customHeight="1">
      <c r="A23" s="41" t="n"/>
      <c r="B23" s="42" t="n"/>
      <c r="C23" s="43" t="n"/>
      <c r="D23" s="43" t="n"/>
      <c r="E23" s="43" t="n"/>
      <c r="F23" s="42" t="n"/>
      <c r="G23" s="42" t="n"/>
      <c r="H23" s="42" t="n"/>
      <c r="I23" s="42" t="n"/>
      <c r="J23" s="42" t="n"/>
    </row>
    <row r="24" ht="26" customHeight="1">
      <c r="A24" s="47" t="inlineStr">
        <is>
          <t>TOTALS</t>
        </is>
      </c>
      <c r="F24" s="48">
        <f>SUMIF(F4:F23,"&lt;&gt;",F4:F23)</f>
        <v/>
      </c>
      <c r="G24" s="48">
        <f>SUMIF(G4:G23,"&lt;&gt;",G4:G23)</f>
        <v/>
      </c>
      <c r="H24" s="48">
        <f>SUMIF(H4:H23,"&lt;&gt;",H4:H23)</f>
        <v/>
      </c>
      <c r="I24" s="49">
        <f>IF(F24=0,"",H24/F24)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</row>
  </sheetData>
  <mergeCells count="3">
    <mergeCell ref="A1:J1"/>
    <mergeCell ref="A24:E24"/>
    <mergeCell ref="A2:J2"/>
  </mergeCells>
  <conditionalFormatting sqref="H4:H23">
    <cfRule type="colorScale" priority="1">
      <colorScale>
        <cfvo type="min"/>
        <cfvo type="num" val="0"/>
        <cfvo type="max"/>
        <color rgb="00FF5C5C"/>
        <color rgb="00333333"/>
        <color rgb="003CEFB0"/>
      </colorScale>
    </cfRule>
  </conditionalFormatting>
  <conditionalFormatting sqref="I4:I23">
    <cfRule type="colorScale" priority="2">
      <colorScale>
        <cfvo type="min"/>
        <cfvo type="num" val="0"/>
        <cfvo type="max"/>
        <color rgb="00FF5C5C"/>
        <color rgb="00333333"/>
        <color rgb="003CEFB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9EFF"/>
    <outlinePr summaryBelow="1" summaryRight="1"/>
    <pageSetUpPr/>
  </sheetPr>
  <dimension ref="A1:J20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28" customWidth="1" min="10" max="10"/>
  </cols>
  <sheetData>
    <row r="1" ht="36" customHeight="1">
      <c r="A1" s="50" t="inlineStr">
        <is>
          <t>📊  US Stocks  —  Stock &amp; ETF Tracker</t>
        </is>
      </c>
    </row>
    <row r="2" ht="18" customHeight="1">
      <c r="A2" s="29" t="inlineStr">
        <is>
          <t>Blue = hardcoded inputs (edit these)  |  Black = formulas (auto-calculated)  |  Green = cross-sheet links</t>
        </is>
      </c>
    </row>
    <row r="3" ht="28" customHeight="1">
      <c r="A3" s="51" t="inlineStr">
        <is>
          <t>Ticker</t>
        </is>
      </c>
      <c r="B3" s="51" t="inlineStr">
        <is>
          <t>Company / Name</t>
        </is>
      </c>
      <c r="C3" s="51" t="inlineStr">
        <is>
          <t>Shares</t>
        </is>
      </c>
      <c r="D3" s="51" t="inlineStr">
        <is>
          <t>Buy Price ($)</t>
        </is>
      </c>
      <c r="E3" s="51" t="inlineStr">
        <is>
          <t>Current Price ($)</t>
        </is>
      </c>
      <c r="F3" s="51" t="inlineStr">
        <is>
          <t>Total Cost ($)</t>
        </is>
      </c>
      <c r="G3" s="51" t="inlineStr">
        <is>
          <t>Current Value ($)</t>
        </is>
      </c>
      <c r="H3" s="51" t="inlineStr">
        <is>
          <t>Gain / Loss ($)</t>
        </is>
      </c>
      <c r="I3" s="51" t="inlineStr">
        <is>
          <t>Gain / Loss (%)</t>
        </is>
      </c>
      <c r="J3" s="51" t="inlineStr">
        <is>
          <t>Notes</t>
        </is>
      </c>
    </row>
    <row r="4" ht="22" customHeight="1">
      <c r="A4" s="44" t="n"/>
      <c r="B4" s="45" t="n"/>
      <c r="C4" s="46" t="n"/>
      <c r="D4" s="46" t="n"/>
      <c r="E4" s="46" t="n"/>
      <c r="F4" s="45" t="n"/>
      <c r="G4" s="45" t="n"/>
      <c r="H4" s="45" t="n"/>
      <c r="I4" s="45" t="n"/>
      <c r="J4" s="45" t="n"/>
    </row>
    <row r="5" ht="22" customHeight="1">
      <c r="A5" s="41" t="n"/>
      <c r="B5" s="42" t="n"/>
      <c r="C5" s="43" t="n"/>
      <c r="D5" s="43" t="n"/>
      <c r="E5" s="43" t="n"/>
      <c r="F5" s="42" t="n"/>
      <c r="G5" s="42" t="n"/>
      <c r="H5" s="42" t="n"/>
      <c r="I5" s="42" t="n"/>
      <c r="J5" s="42" t="n"/>
    </row>
    <row r="6" ht="22" customHeight="1">
      <c r="A6" s="44" t="n"/>
      <c r="B6" s="45" t="n"/>
      <c r="C6" s="46" t="n"/>
      <c r="D6" s="46" t="n"/>
      <c r="E6" s="46" t="n"/>
      <c r="F6" s="45" t="n"/>
      <c r="G6" s="45" t="n"/>
      <c r="H6" s="45" t="n"/>
      <c r="I6" s="45" t="n"/>
      <c r="J6" s="45" t="n"/>
    </row>
    <row r="7" ht="22" customHeight="1">
      <c r="A7" s="41" t="n"/>
      <c r="B7" s="42" t="n"/>
      <c r="C7" s="43" t="n"/>
      <c r="D7" s="43" t="n"/>
      <c r="E7" s="43" t="n"/>
      <c r="F7" s="42" t="n"/>
      <c r="G7" s="42" t="n"/>
      <c r="H7" s="42" t="n"/>
      <c r="I7" s="42" t="n"/>
      <c r="J7" s="42" t="n"/>
    </row>
    <row r="8" ht="22" customHeight="1">
      <c r="A8" s="44" t="n"/>
      <c r="B8" s="45" t="n"/>
      <c r="C8" s="46" t="n"/>
      <c r="D8" s="46" t="n"/>
      <c r="E8" s="46" t="n"/>
      <c r="F8" s="45" t="n"/>
      <c r="G8" s="45" t="n"/>
      <c r="H8" s="45" t="n"/>
      <c r="I8" s="45" t="n"/>
      <c r="J8" s="45" t="n"/>
    </row>
    <row r="9" ht="22" customHeight="1">
      <c r="A9" s="41" t="n"/>
      <c r="B9" s="42" t="n"/>
      <c r="C9" s="43" t="n"/>
      <c r="D9" s="43" t="n"/>
      <c r="E9" s="43" t="n"/>
      <c r="F9" s="42" t="n"/>
      <c r="G9" s="42" t="n"/>
      <c r="H9" s="42" t="n"/>
      <c r="I9" s="42" t="n"/>
      <c r="J9" s="42" t="n"/>
    </row>
    <row r="10" ht="22" customHeight="1">
      <c r="A10" s="44" t="n"/>
      <c r="B10" s="45" t="n"/>
      <c r="C10" s="46" t="n"/>
      <c r="D10" s="46" t="n"/>
      <c r="E10" s="46" t="n"/>
      <c r="F10" s="45" t="n"/>
      <c r="G10" s="45" t="n"/>
      <c r="H10" s="45" t="n"/>
      <c r="I10" s="45" t="n"/>
      <c r="J10" s="45" t="n"/>
    </row>
    <row r="11" ht="22" customHeight="1">
      <c r="A11" s="41" t="n"/>
      <c r="B11" s="42" t="n"/>
      <c r="C11" s="43" t="n"/>
      <c r="D11" s="43" t="n"/>
      <c r="E11" s="43" t="n"/>
      <c r="F11" s="42" t="n"/>
      <c r="G11" s="42" t="n"/>
      <c r="H11" s="42" t="n"/>
      <c r="I11" s="42" t="n"/>
      <c r="J11" s="42" t="n"/>
    </row>
    <row r="12" ht="22" customHeight="1">
      <c r="A12" s="44" t="n"/>
      <c r="B12" s="45" t="n"/>
      <c r="C12" s="46" t="n"/>
      <c r="D12" s="46" t="n"/>
      <c r="E12" s="46" t="n"/>
      <c r="F12" s="45" t="n"/>
      <c r="G12" s="45" t="n"/>
      <c r="H12" s="45" t="n"/>
      <c r="I12" s="45" t="n"/>
      <c r="J12" s="45" t="n"/>
    </row>
    <row r="13" ht="22" customHeight="1">
      <c r="A13" s="41" t="n"/>
      <c r="B13" s="42" t="n"/>
      <c r="C13" s="43" t="n"/>
      <c r="D13" s="43" t="n"/>
      <c r="E13" s="43" t="n"/>
      <c r="F13" s="42" t="n"/>
      <c r="G13" s="42" t="n"/>
      <c r="H13" s="42" t="n"/>
      <c r="I13" s="42" t="n"/>
      <c r="J13" s="42" t="n"/>
    </row>
    <row r="14" ht="22" customHeight="1">
      <c r="A14" s="44" t="n"/>
      <c r="B14" s="45" t="n"/>
      <c r="C14" s="46" t="n"/>
      <c r="D14" s="46" t="n"/>
      <c r="E14" s="46" t="n"/>
      <c r="F14" s="45" t="n"/>
      <c r="G14" s="45" t="n"/>
      <c r="H14" s="45" t="n"/>
      <c r="I14" s="45" t="n"/>
      <c r="J14" s="45" t="n"/>
    </row>
    <row r="15" ht="22" customHeight="1">
      <c r="A15" s="41" t="n"/>
      <c r="B15" s="42" t="n"/>
      <c r="C15" s="43" t="n"/>
      <c r="D15" s="43" t="n"/>
      <c r="E15" s="43" t="n"/>
      <c r="F15" s="42" t="n"/>
      <c r="G15" s="42" t="n"/>
      <c r="H15" s="42" t="n"/>
      <c r="I15" s="42" t="n"/>
      <c r="J15" s="42" t="n"/>
    </row>
    <row r="16" ht="22" customHeight="1">
      <c r="A16" s="44" t="n"/>
      <c r="B16" s="45" t="n"/>
      <c r="C16" s="46" t="n"/>
      <c r="D16" s="46" t="n"/>
      <c r="E16" s="46" t="n"/>
      <c r="F16" s="45" t="n"/>
      <c r="G16" s="45" t="n"/>
      <c r="H16" s="45" t="n"/>
      <c r="I16" s="45" t="n"/>
      <c r="J16" s="45" t="n"/>
    </row>
    <row r="17" ht="22" customHeight="1">
      <c r="A17" s="41" t="n"/>
      <c r="B17" s="42" t="n"/>
      <c r="C17" s="43" t="n"/>
      <c r="D17" s="43" t="n"/>
      <c r="E17" s="43" t="n"/>
      <c r="F17" s="42" t="n"/>
      <c r="G17" s="42" t="n"/>
      <c r="H17" s="42" t="n"/>
      <c r="I17" s="42" t="n"/>
      <c r="J17" s="42" t="n"/>
    </row>
    <row r="18" ht="22" customHeight="1">
      <c r="A18" s="44" t="n"/>
      <c r="B18" s="45" t="n"/>
      <c r="C18" s="46" t="n"/>
      <c r="D18" s="46" t="n"/>
      <c r="E18" s="46" t="n"/>
      <c r="F18" s="45" t="n"/>
      <c r="G18" s="45" t="n"/>
      <c r="H18" s="45" t="n"/>
      <c r="I18" s="45" t="n"/>
      <c r="J18" s="45" t="n"/>
    </row>
    <row r="19" ht="22" customHeight="1">
      <c r="A19" s="41" t="n"/>
      <c r="B19" s="42" t="n"/>
      <c r="C19" s="43" t="n"/>
      <c r="D19" s="43" t="n"/>
      <c r="E19" s="43" t="n"/>
      <c r="F19" s="42" t="n"/>
      <c r="G19" s="42" t="n"/>
      <c r="H19" s="42" t="n"/>
      <c r="I19" s="42" t="n"/>
      <c r="J19" s="42" t="n"/>
    </row>
    <row r="20" ht="22" customHeight="1">
      <c r="A20" s="44" t="n"/>
      <c r="B20" s="45" t="n"/>
      <c r="C20" s="46" t="n"/>
      <c r="D20" s="46" t="n"/>
      <c r="E20" s="46" t="n"/>
      <c r="F20" s="45" t="n"/>
      <c r="G20" s="45" t="n"/>
      <c r="H20" s="45" t="n"/>
      <c r="I20" s="45" t="n"/>
      <c r="J20" s="45" t="n"/>
    </row>
    <row r="21" ht="22" customHeight="1">
      <c r="A21" s="41" t="n"/>
      <c r="B21" s="42" t="n"/>
      <c r="C21" s="43" t="n"/>
      <c r="D21" s="43" t="n"/>
      <c r="E21" s="43" t="n"/>
      <c r="F21" s="42" t="n"/>
      <c r="G21" s="42" t="n"/>
      <c r="H21" s="42" t="n"/>
      <c r="I21" s="42" t="n"/>
      <c r="J21" s="42" t="n"/>
    </row>
    <row r="22" ht="22" customHeight="1">
      <c r="A22" s="44" t="n"/>
      <c r="B22" s="45" t="n"/>
      <c r="C22" s="46" t="n"/>
      <c r="D22" s="46" t="n"/>
      <c r="E22" s="46" t="n"/>
      <c r="F22" s="45" t="n"/>
      <c r="G22" s="45" t="n"/>
      <c r="H22" s="45" t="n"/>
      <c r="I22" s="45" t="n"/>
      <c r="J22" s="45" t="n"/>
    </row>
    <row r="23" ht="22" customHeight="1">
      <c r="A23" s="41" t="n"/>
      <c r="B23" s="42" t="n"/>
      <c r="C23" s="43" t="n"/>
      <c r="D23" s="43" t="n"/>
      <c r="E23" s="43" t="n"/>
      <c r="F23" s="42" t="n"/>
      <c r="G23" s="42" t="n"/>
      <c r="H23" s="42" t="n"/>
      <c r="I23" s="42" t="n"/>
      <c r="J23" s="42" t="n"/>
    </row>
    <row r="24" ht="26" customHeight="1">
      <c r="A24" s="52" t="inlineStr">
        <is>
          <t>TOTALS</t>
        </is>
      </c>
      <c r="F24" s="53">
        <f>SUMIF(F4:F23,"&lt;&gt;",F4:F23)</f>
        <v/>
      </c>
      <c r="G24" s="53">
        <f>SUMIF(G4:G23,"&lt;&gt;",G4:G23)</f>
        <v/>
      </c>
      <c r="H24" s="53">
        <f>SUMIF(H4:H23,"&lt;&gt;",H4:H23)</f>
        <v/>
      </c>
      <c r="I24" s="54">
        <f>IF(F24=0,"",H24/F24)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</row>
  </sheetData>
  <mergeCells count="3">
    <mergeCell ref="A1:J1"/>
    <mergeCell ref="A24:E24"/>
    <mergeCell ref="A2:J2"/>
  </mergeCells>
  <conditionalFormatting sqref="H4:H23">
    <cfRule type="colorScale" priority="1">
      <colorScale>
        <cfvo type="min"/>
        <cfvo type="num" val="0"/>
        <cfvo type="max"/>
        <color rgb="00FF5C5C"/>
        <color rgb="00333333"/>
        <color rgb="003CEFB0"/>
      </colorScale>
    </cfRule>
  </conditionalFormatting>
  <conditionalFormatting sqref="I4:I23">
    <cfRule type="colorScale" priority="2">
      <colorScale>
        <cfvo type="min"/>
        <cfvo type="num" val="0"/>
        <cfvo type="max"/>
        <color rgb="00FF5C5C"/>
        <color rgb="00333333"/>
        <color rgb="003CEFB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8FFF"/>
    <outlinePr summaryBelow="1" summaryRight="1"/>
    <pageSetUpPr/>
  </sheetPr>
  <dimension ref="A1:J20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28" customWidth="1" min="10" max="10"/>
  </cols>
  <sheetData>
    <row r="1" ht="36" customHeight="1">
      <c r="A1" s="55" t="inlineStr">
        <is>
          <t>📊  ETFs  —  Stock &amp; ETF Tracker</t>
        </is>
      </c>
    </row>
    <row r="2" ht="18" customHeight="1">
      <c r="A2" s="29" t="inlineStr">
        <is>
          <t>Blue = hardcoded inputs (edit these)  |  Black = formulas (auto-calculated)  |  Green = cross-sheet links</t>
        </is>
      </c>
    </row>
    <row r="3" ht="28" customHeight="1">
      <c r="A3" s="56" t="inlineStr">
        <is>
          <t>Ticker</t>
        </is>
      </c>
      <c r="B3" s="56" t="inlineStr">
        <is>
          <t>Company / Name</t>
        </is>
      </c>
      <c r="C3" s="56" t="inlineStr">
        <is>
          <t>Shares</t>
        </is>
      </c>
      <c r="D3" s="56" t="inlineStr">
        <is>
          <t>Buy Price ($)</t>
        </is>
      </c>
      <c r="E3" s="56" t="inlineStr">
        <is>
          <t>Current Price ($)</t>
        </is>
      </c>
      <c r="F3" s="56" t="inlineStr">
        <is>
          <t>Total Cost ($)</t>
        </is>
      </c>
      <c r="G3" s="56" t="inlineStr">
        <is>
          <t>Current Value ($)</t>
        </is>
      </c>
      <c r="H3" s="56" t="inlineStr">
        <is>
          <t>Gain / Loss ($)</t>
        </is>
      </c>
      <c r="I3" s="56" t="inlineStr">
        <is>
          <t>Gain / Loss (%)</t>
        </is>
      </c>
      <c r="J3" s="56" t="inlineStr">
        <is>
          <t>Notes</t>
        </is>
      </c>
    </row>
    <row r="4" ht="22" customHeight="1">
      <c r="A4" s="44" t="n"/>
      <c r="B4" s="45" t="n"/>
      <c r="C4" s="46" t="n"/>
      <c r="D4" s="46" t="n"/>
      <c r="E4" s="46" t="n"/>
      <c r="F4" s="45" t="n"/>
      <c r="G4" s="45" t="n"/>
      <c r="H4" s="45" t="n"/>
      <c r="I4" s="45" t="n"/>
      <c r="J4" s="45" t="n"/>
    </row>
    <row r="5" ht="22" customHeight="1">
      <c r="A5" s="41" t="n"/>
      <c r="B5" s="42" t="n"/>
      <c r="C5" s="43" t="n"/>
      <c r="D5" s="43" t="n"/>
      <c r="E5" s="43" t="n"/>
      <c r="F5" s="42" t="n"/>
      <c r="G5" s="42" t="n"/>
      <c r="H5" s="42" t="n"/>
      <c r="I5" s="42" t="n"/>
      <c r="J5" s="42" t="n"/>
    </row>
    <row r="6" ht="22" customHeight="1">
      <c r="A6" s="44" t="n"/>
      <c r="B6" s="45" t="n"/>
      <c r="C6" s="46" t="n"/>
      <c r="D6" s="46" t="n"/>
      <c r="E6" s="46" t="n"/>
      <c r="F6" s="45" t="n"/>
      <c r="G6" s="45" t="n"/>
      <c r="H6" s="45" t="n"/>
      <c r="I6" s="45" t="n"/>
      <c r="J6" s="45" t="n"/>
    </row>
    <row r="7" ht="22" customHeight="1">
      <c r="A7" s="41" t="n"/>
      <c r="B7" s="42" t="n"/>
      <c r="C7" s="43" t="n"/>
      <c r="D7" s="43" t="n"/>
      <c r="E7" s="43" t="n"/>
      <c r="F7" s="42" t="n"/>
      <c r="G7" s="42" t="n"/>
      <c r="H7" s="42" t="n"/>
      <c r="I7" s="42" t="n"/>
      <c r="J7" s="42" t="n"/>
    </row>
    <row r="8" ht="22" customHeight="1">
      <c r="A8" s="44" t="n"/>
      <c r="B8" s="45" t="n"/>
      <c r="C8" s="46" t="n"/>
      <c r="D8" s="46" t="n"/>
      <c r="E8" s="46" t="n"/>
      <c r="F8" s="45" t="n"/>
      <c r="G8" s="45" t="n"/>
      <c r="H8" s="45" t="n"/>
      <c r="I8" s="45" t="n"/>
      <c r="J8" s="45" t="n"/>
    </row>
    <row r="9" ht="22" customHeight="1">
      <c r="A9" s="41" t="n"/>
      <c r="B9" s="42" t="n"/>
      <c r="C9" s="43" t="n"/>
      <c r="D9" s="43" t="n"/>
      <c r="E9" s="43" t="n"/>
      <c r="F9" s="42" t="n"/>
      <c r="G9" s="42" t="n"/>
      <c r="H9" s="42" t="n"/>
      <c r="I9" s="42" t="n"/>
      <c r="J9" s="42" t="n"/>
    </row>
    <row r="10" ht="22" customHeight="1">
      <c r="A10" s="44" t="n"/>
      <c r="B10" s="45" t="n"/>
      <c r="C10" s="46" t="n"/>
      <c r="D10" s="46" t="n"/>
      <c r="E10" s="46" t="n"/>
      <c r="F10" s="45" t="n"/>
      <c r="G10" s="45" t="n"/>
      <c r="H10" s="45" t="n"/>
      <c r="I10" s="45" t="n"/>
      <c r="J10" s="45" t="n"/>
    </row>
    <row r="11" ht="22" customHeight="1">
      <c r="A11" s="41" t="n"/>
      <c r="B11" s="42" t="n"/>
      <c r="C11" s="43" t="n"/>
      <c r="D11" s="43" t="n"/>
      <c r="E11" s="43" t="n"/>
      <c r="F11" s="42" t="n"/>
      <c r="G11" s="42" t="n"/>
      <c r="H11" s="42" t="n"/>
      <c r="I11" s="42" t="n"/>
      <c r="J11" s="42" t="n"/>
    </row>
    <row r="12" ht="22" customHeight="1">
      <c r="A12" s="44" t="n"/>
      <c r="B12" s="45" t="n"/>
      <c r="C12" s="46" t="n"/>
      <c r="D12" s="46" t="n"/>
      <c r="E12" s="46" t="n"/>
      <c r="F12" s="45" t="n"/>
      <c r="G12" s="45" t="n"/>
      <c r="H12" s="45" t="n"/>
      <c r="I12" s="45" t="n"/>
      <c r="J12" s="45" t="n"/>
    </row>
    <row r="13" ht="22" customHeight="1">
      <c r="A13" s="41" t="n"/>
      <c r="B13" s="42" t="n"/>
      <c r="C13" s="43" t="n"/>
      <c r="D13" s="43" t="n"/>
      <c r="E13" s="43" t="n"/>
      <c r="F13" s="42" t="n"/>
      <c r="G13" s="42" t="n"/>
      <c r="H13" s="42" t="n"/>
      <c r="I13" s="42" t="n"/>
      <c r="J13" s="42" t="n"/>
    </row>
    <row r="14" ht="22" customHeight="1">
      <c r="A14" s="44" t="n"/>
      <c r="B14" s="45" t="n"/>
      <c r="C14" s="46" t="n"/>
      <c r="D14" s="46" t="n"/>
      <c r="E14" s="46" t="n"/>
      <c r="F14" s="45" t="n"/>
      <c r="G14" s="45" t="n"/>
      <c r="H14" s="45" t="n"/>
      <c r="I14" s="45" t="n"/>
      <c r="J14" s="45" t="n"/>
    </row>
    <row r="15" ht="22" customHeight="1">
      <c r="A15" s="41" t="n"/>
      <c r="B15" s="42" t="n"/>
      <c r="C15" s="43" t="n"/>
      <c r="D15" s="43" t="n"/>
      <c r="E15" s="43" t="n"/>
      <c r="F15" s="42" t="n"/>
      <c r="G15" s="42" t="n"/>
      <c r="H15" s="42" t="n"/>
      <c r="I15" s="42" t="n"/>
      <c r="J15" s="42" t="n"/>
    </row>
    <row r="16" ht="22" customHeight="1">
      <c r="A16" s="44" t="n"/>
      <c r="B16" s="45" t="n"/>
      <c r="C16" s="46" t="n"/>
      <c r="D16" s="46" t="n"/>
      <c r="E16" s="46" t="n"/>
      <c r="F16" s="45" t="n"/>
      <c r="G16" s="45" t="n"/>
      <c r="H16" s="45" t="n"/>
      <c r="I16" s="45" t="n"/>
      <c r="J16" s="45" t="n"/>
    </row>
    <row r="17" ht="22" customHeight="1">
      <c r="A17" s="41" t="n"/>
      <c r="B17" s="42" t="n"/>
      <c r="C17" s="43" t="n"/>
      <c r="D17" s="43" t="n"/>
      <c r="E17" s="43" t="n"/>
      <c r="F17" s="42" t="n"/>
      <c r="G17" s="42" t="n"/>
      <c r="H17" s="42" t="n"/>
      <c r="I17" s="42" t="n"/>
      <c r="J17" s="42" t="n"/>
    </row>
    <row r="18" ht="22" customHeight="1">
      <c r="A18" s="44" t="n"/>
      <c r="B18" s="45" t="n"/>
      <c r="C18" s="46" t="n"/>
      <c r="D18" s="46" t="n"/>
      <c r="E18" s="46" t="n"/>
      <c r="F18" s="45" t="n"/>
      <c r="G18" s="45" t="n"/>
      <c r="H18" s="45" t="n"/>
      <c r="I18" s="45" t="n"/>
      <c r="J18" s="45" t="n"/>
    </row>
    <row r="19" ht="22" customHeight="1">
      <c r="A19" s="41" t="n"/>
      <c r="B19" s="42" t="n"/>
      <c r="C19" s="43" t="n"/>
      <c r="D19" s="43" t="n"/>
      <c r="E19" s="43" t="n"/>
      <c r="F19" s="42" t="n"/>
      <c r="G19" s="42" t="n"/>
      <c r="H19" s="42" t="n"/>
      <c r="I19" s="42" t="n"/>
      <c r="J19" s="42" t="n"/>
    </row>
    <row r="20" ht="22" customHeight="1">
      <c r="A20" s="44" t="n"/>
      <c r="B20" s="45" t="n"/>
      <c r="C20" s="46" t="n"/>
      <c r="D20" s="46" t="n"/>
      <c r="E20" s="46" t="n"/>
      <c r="F20" s="45" t="n"/>
      <c r="G20" s="45" t="n"/>
      <c r="H20" s="45" t="n"/>
      <c r="I20" s="45" t="n"/>
      <c r="J20" s="45" t="n"/>
    </row>
    <row r="21" ht="22" customHeight="1">
      <c r="A21" s="41" t="n"/>
      <c r="B21" s="42" t="n"/>
      <c r="C21" s="43" t="n"/>
      <c r="D21" s="43" t="n"/>
      <c r="E21" s="43" t="n"/>
      <c r="F21" s="42" t="n"/>
      <c r="G21" s="42" t="n"/>
      <c r="H21" s="42" t="n"/>
      <c r="I21" s="42" t="n"/>
      <c r="J21" s="42" t="n"/>
    </row>
    <row r="22" ht="22" customHeight="1">
      <c r="A22" s="44" t="n"/>
      <c r="B22" s="45" t="n"/>
      <c r="C22" s="46" t="n"/>
      <c r="D22" s="46" t="n"/>
      <c r="E22" s="46" t="n"/>
      <c r="F22" s="45" t="n"/>
      <c r="G22" s="45" t="n"/>
      <c r="H22" s="45" t="n"/>
      <c r="I22" s="45" t="n"/>
      <c r="J22" s="45" t="n"/>
    </row>
    <row r="23" ht="22" customHeight="1">
      <c r="A23" s="41" t="n"/>
      <c r="B23" s="42" t="n"/>
      <c r="C23" s="43" t="n"/>
      <c r="D23" s="43" t="n"/>
      <c r="E23" s="43" t="n"/>
      <c r="F23" s="42" t="n"/>
      <c r="G23" s="42" t="n"/>
      <c r="H23" s="42" t="n"/>
      <c r="I23" s="42" t="n"/>
      <c r="J23" s="42" t="n"/>
    </row>
    <row r="24" ht="26" customHeight="1">
      <c r="A24" s="57" t="inlineStr">
        <is>
          <t>TOTALS</t>
        </is>
      </c>
      <c r="F24" s="58">
        <f>SUMIF(F4:F23,"&lt;&gt;",F4:F23)</f>
        <v/>
      </c>
      <c r="G24" s="58">
        <f>SUMIF(G4:G23,"&lt;&gt;",G4:G23)</f>
        <v/>
      </c>
      <c r="H24" s="58">
        <f>SUMIF(H4:H23,"&lt;&gt;",H4:H23)</f>
        <v/>
      </c>
      <c r="I24" s="59">
        <f>IF(F24=0,"",H24/F24)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</row>
  </sheetData>
  <mergeCells count="3">
    <mergeCell ref="A1:J1"/>
    <mergeCell ref="A24:E24"/>
    <mergeCell ref="A2:J2"/>
  </mergeCells>
  <conditionalFormatting sqref="H4:H23">
    <cfRule type="colorScale" priority="1">
      <colorScale>
        <cfvo type="min"/>
        <cfvo type="num" val="0"/>
        <cfvo type="max"/>
        <color rgb="00FF5C5C"/>
        <color rgb="00333333"/>
        <color rgb="003CEFB0"/>
      </colorScale>
    </cfRule>
  </conditionalFormatting>
  <conditionalFormatting sqref="I4:I23">
    <cfRule type="colorScale" priority="2">
      <colorScale>
        <cfvo type="min"/>
        <cfvo type="num" val="0"/>
        <cfvo type="max"/>
        <color rgb="00FF5C5C"/>
        <color rgb="00333333"/>
        <color rgb="003CEFB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C42"/>
    <outlinePr summaryBelow="1" summaryRight="1"/>
    <pageSetUpPr/>
  </sheetPr>
  <dimension ref="A1:J20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28" customWidth="1" min="10" max="10"/>
  </cols>
  <sheetData>
    <row r="1" ht="36" customHeight="1">
      <c r="A1" s="60" t="inlineStr">
        <is>
          <t>📊  International  —  Stock &amp; ETF Tracker</t>
        </is>
      </c>
    </row>
    <row r="2" ht="18" customHeight="1">
      <c r="A2" s="29" t="inlineStr">
        <is>
          <t>Blue = hardcoded inputs (edit these)  |  Black = formulas (auto-calculated)  |  Green = cross-sheet links</t>
        </is>
      </c>
    </row>
    <row r="3" ht="28" customHeight="1">
      <c r="A3" s="61" t="inlineStr">
        <is>
          <t>Ticker</t>
        </is>
      </c>
      <c r="B3" s="61" t="inlineStr">
        <is>
          <t>Company / Name</t>
        </is>
      </c>
      <c r="C3" s="61" t="inlineStr">
        <is>
          <t>Shares</t>
        </is>
      </c>
      <c r="D3" s="61" t="inlineStr">
        <is>
          <t>Buy Price ($)</t>
        </is>
      </c>
      <c r="E3" s="61" t="inlineStr">
        <is>
          <t>Current Price ($)</t>
        </is>
      </c>
      <c r="F3" s="61" t="inlineStr">
        <is>
          <t>Total Cost ($)</t>
        </is>
      </c>
      <c r="G3" s="61" t="inlineStr">
        <is>
          <t>Current Value ($)</t>
        </is>
      </c>
      <c r="H3" s="61" t="inlineStr">
        <is>
          <t>Gain / Loss ($)</t>
        </is>
      </c>
      <c r="I3" s="61" t="inlineStr">
        <is>
          <t>Gain / Loss (%)</t>
        </is>
      </c>
      <c r="J3" s="61" t="inlineStr">
        <is>
          <t>Notes</t>
        </is>
      </c>
    </row>
    <row r="4" ht="22" customHeight="1">
      <c r="A4" s="44" t="n"/>
      <c r="B4" s="45" t="n"/>
      <c r="C4" s="46" t="n"/>
      <c r="D4" s="46" t="n"/>
      <c r="E4" s="46" t="n"/>
      <c r="F4" s="45" t="n"/>
      <c r="G4" s="45" t="n"/>
      <c r="H4" s="45" t="n"/>
      <c r="I4" s="45" t="n"/>
      <c r="J4" s="45" t="n"/>
    </row>
    <row r="5" ht="22" customHeight="1">
      <c r="A5" s="41" t="n"/>
      <c r="B5" s="42" t="n"/>
      <c r="C5" s="43" t="n"/>
      <c r="D5" s="43" t="n"/>
      <c r="E5" s="43" t="n"/>
      <c r="F5" s="42" t="n"/>
      <c r="G5" s="42" t="n"/>
      <c r="H5" s="42" t="n"/>
      <c r="I5" s="42" t="n"/>
      <c r="J5" s="42" t="n"/>
    </row>
    <row r="6" ht="22" customHeight="1">
      <c r="A6" s="44" t="n"/>
      <c r="B6" s="45" t="n"/>
      <c r="C6" s="46" t="n"/>
      <c r="D6" s="46" t="n"/>
      <c r="E6" s="46" t="n"/>
      <c r="F6" s="45" t="n"/>
      <c r="G6" s="45" t="n"/>
      <c r="H6" s="45" t="n"/>
      <c r="I6" s="45" t="n"/>
      <c r="J6" s="45" t="n"/>
    </row>
    <row r="7" ht="22" customHeight="1">
      <c r="A7" s="41" t="n"/>
      <c r="B7" s="42" t="n"/>
      <c r="C7" s="43" t="n"/>
      <c r="D7" s="43" t="n"/>
      <c r="E7" s="43" t="n"/>
      <c r="F7" s="42" t="n"/>
      <c r="G7" s="42" t="n"/>
      <c r="H7" s="42" t="n"/>
      <c r="I7" s="42" t="n"/>
      <c r="J7" s="42" t="n"/>
    </row>
    <row r="8" ht="22" customHeight="1">
      <c r="A8" s="44" t="n"/>
      <c r="B8" s="45" t="n"/>
      <c r="C8" s="46" t="n"/>
      <c r="D8" s="46" t="n"/>
      <c r="E8" s="46" t="n"/>
      <c r="F8" s="45" t="n"/>
      <c r="G8" s="45" t="n"/>
      <c r="H8" s="45" t="n"/>
      <c r="I8" s="45" t="n"/>
      <c r="J8" s="45" t="n"/>
    </row>
    <row r="9" ht="22" customHeight="1">
      <c r="A9" s="41" t="n"/>
      <c r="B9" s="42" t="n"/>
      <c r="C9" s="43" t="n"/>
      <c r="D9" s="43" t="n"/>
      <c r="E9" s="43" t="n"/>
      <c r="F9" s="42" t="n"/>
      <c r="G9" s="42" t="n"/>
      <c r="H9" s="42" t="n"/>
      <c r="I9" s="42" t="n"/>
      <c r="J9" s="42" t="n"/>
    </row>
    <row r="10" ht="22" customHeight="1">
      <c r="A10" s="44" t="n"/>
      <c r="B10" s="45" t="n"/>
      <c r="C10" s="46" t="n"/>
      <c r="D10" s="46" t="n"/>
      <c r="E10" s="46" t="n"/>
      <c r="F10" s="45" t="n"/>
      <c r="G10" s="45" t="n"/>
      <c r="H10" s="45" t="n"/>
      <c r="I10" s="45" t="n"/>
      <c r="J10" s="45" t="n"/>
    </row>
    <row r="11" ht="22" customHeight="1">
      <c r="A11" s="41" t="n"/>
      <c r="B11" s="42" t="n"/>
      <c r="C11" s="43" t="n"/>
      <c r="D11" s="43" t="n"/>
      <c r="E11" s="43" t="n"/>
      <c r="F11" s="42" t="n"/>
      <c r="G11" s="42" t="n"/>
      <c r="H11" s="42" t="n"/>
      <c r="I11" s="42" t="n"/>
      <c r="J11" s="42" t="n"/>
    </row>
    <row r="12" ht="22" customHeight="1">
      <c r="A12" s="44" t="n"/>
      <c r="B12" s="45" t="n"/>
      <c r="C12" s="46" t="n"/>
      <c r="D12" s="46" t="n"/>
      <c r="E12" s="46" t="n"/>
      <c r="F12" s="45" t="n"/>
      <c r="G12" s="45" t="n"/>
      <c r="H12" s="45" t="n"/>
      <c r="I12" s="45" t="n"/>
      <c r="J12" s="45" t="n"/>
    </row>
    <row r="13" ht="22" customHeight="1">
      <c r="A13" s="41" t="n"/>
      <c r="B13" s="42" t="n"/>
      <c r="C13" s="43" t="n"/>
      <c r="D13" s="43" t="n"/>
      <c r="E13" s="43" t="n"/>
      <c r="F13" s="42" t="n"/>
      <c r="G13" s="42" t="n"/>
      <c r="H13" s="42" t="n"/>
      <c r="I13" s="42" t="n"/>
      <c r="J13" s="42" t="n"/>
    </row>
    <row r="14" ht="22" customHeight="1">
      <c r="A14" s="44" t="n"/>
      <c r="B14" s="45" t="n"/>
      <c r="C14" s="46" t="n"/>
      <c r="D14" s="46" t="n"/>
      <c r="E14" s="46" t="n"/>
      <c r="F14" s="45" t="n"/>
      <c r="G14" s="45" t="n"/>
      <c r="H14" s="45" t="n"/>
      <c r="I14" s="45" t="n"/>
      <c r="J14" s="45" t="n"/>
    </row>
    <row r="15" ht="22" customHeight="1">
      <c r="A15" s="41" t="n"/>
      <c r="B15" s="42" t="n"/>
      <c r="C15" s="43" t="n"/>
      <c r="D15" s="43" t="n"/>
      <c r="E15" s="43" t="n"/>
      <c r="F15" s="42" t="n"/>
      <c r="G15" s="42" t="n"/>
      <c r="H15" s="42" t="n"/>
      <c r="I15" s="42" t="n"/>
      <c r="J15" s="42" t="n"/>
    </row>
    <row r="16" ht="22" customHeight="1">
      <c r="A16" s="44" t="n"/>
      <c r="B16" s="45" t="n"/>
      <c r="C16" s="46" t="n"/>
      <c r="D16" s="46" t="n"/>
      <c r="E16" s="46" t="n"/>
      <c r="F16" s="45" t="n"/>
      <c r="G16" s="45" t="n"/>
      <c r="H16" s="45" t="n"/>
      <c r="I16" s="45" t="n"/>
      <c r="J16" s="45" t="n"/>
    </row>
    <row r="17" ht="22" customHeight="1">
      <c r="A17" s="41" t="n"/>
      <c r="B17" s="42" t="n"/>
      <c r="C17" s="43" t="n"/>
      <c r="D17" s="43" t="n"/>
      <c r="E17" s="43" t="n"/>
      <c r="F17" s="42" t="n"/>
      <c r="G17" s="42" t="n"/>
      <c r="H17" s="42" t="n"/>
      <c r="I17" s="42" t="n"/>
      <c r="J17" s="42" t="n"/>
    </row>
    <row r="18" ht="22" customHeight="1">
      <c r="A18" s="44" t="n"/>
      <c r="B18" s="45" t="n"/>
      <c r="C18" s="46" t="n"/>
      <c r="D18" s="46" t="n"/>
      <c r="E18" s="46" t="n"/>
      <c r="F18" s="45" t="n"/>
      <c r="G18" s="45" t="n"/>
      <c r="H18" s="45" t="n"/>
      <c r="I18" s="45" t="n"/>
      <c r="J18" s="45" t="n"/>
    </row>
    <row r="19" ht="22" customHeight="1">
      <c r="A19" s="41" t="n"/>
      <c r="B19" s="42" t="n"/>
      <c r="C19" s="43" t="n"/>
      <c r="D19" s="43" t="n"/>
      <c r="E19" s="43" t="n"/>
      <c r="F19" s="42" t="n"/>
      <c r="G19" s="42" t="n"/>
      <c r="H19" s="42" t="n"/>
      <c r="I19" s="42" t="n"/>
      <c r="J19" s="42" t="n"/>
    </row>
    <row r="20" ht="22" customHeight="1">
      <c r="A20" s="44" t="n"/>
      <c r="B20" s="45" t="n"/>
      <c r="C20" s="46" t="n"/>
      <c r="D20" s="46" t="n"/>
      <c r="E20" s="46" t="n"/>
      <c r="F20" s="45" t="n"/>
      <c r="G20" s="45" t="n"/>
      <c r="H20" s="45" t="n"/>
      <c r="I20" s="45" t="n"/>
      <c r="J20" s="45" t="n"/>
    </row>
    <row r="21" ht="22" customHeight="1">
      <c r="A21" s="41" t="n"/>
      <c r="B21" s="42" t="n"/>
      <c r="C21" s="43" t="n"/>
      <c r="D21" s="43" t="n"/>
      <c r="E21" s="43" t="n"/>
      <c r="F21" s="42" t="n"/>
      <c r="G21" s="42" t="n"/>
      <c r="H21" s="42" t="n"/>
      <c r="I21" s="42" t="n"/>
      <c r="J21" s="42" t="n"/>
    </row>
    <row r="22" ht="22" customHeight="1">
      <c r="A22" s="44" t="n"/>
      <c r="B22" s="45" t="n"/>
      <c r="C22" s="46" t="n"/>
      <c r="D22" s="46" t="n"/>
      <c r="E22" s="46" t="n"/>
      <c r="F22" s="45" t="n"/>
      <c r="G22" s="45" t="n"/>
      <c r="H22" s="45" t="n"/>
      <c r="I22" s="45" t="n"/>
      <c r="J22" s="45" t="n"/>
    </row>
    <row r="23" ht="22" customHeight="1">
      <c r="A23" s="41" t="n"/>
      <c r="B23" s="42" t="n"/>
      <c r="C23" s="43" t="n"/>
      <c r="D23" s="43" t="n"/>
      <c r="E23" s="43" t="n"/>
      <c r="F23" s="42" t="n"/>
      <c r="G23" s="42" t="n"/>
      <c r="H23" s="42" t="n"/>
      <c r="I23" s="42" t="n"/>
      <c r="J23" s="42" t="n"/>
    </row>
    <row r="24" ht="26" customHeight="1">
      <c r="A24" s="62" t="inlineStr">
        <is>
          <t>TOTALS</t>
        </is>
      </c>
      <c r="F24" s="63">
        <f>SUMIF(F4:F23,"&lt;&gt;",F4:F23)</f>
        <v/>
      </c>
      <c r="G24" s="63">
        <f>SUMIF(G4:G23,"&lt;&gt;",G4:G23)</f>
        <v/>
      </c>
      <c r="H24" s="63">
        <f>SUMIF(H4:H23,"&lt;&gt;",H4:H23)</f>
        <v/>
      </c>
      <c r="I24" s="64">
        <f>IF(F24=0,"",H24/F24)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</row>
  </sheetData>
  <mergeCells count="3">
    <mergeCell ref="A1:J1"/>
    <mergeCell ref="A24:E24"/>
    <mergeCell ref="A2:J2"/>
  </mergeCells>
  <conditionalFormatting sqref="H4:H23">
    <cfRule type="colorScale" priority="1">
      <colorScale>
        <cfvo type="min"/>
        <cfvo type="num" val="0"/>
        <cfvo type="max"/>
        <color rgb="00FF5C5C"/>
        <color rgb="00333333"/>
        <color rgb="003CEFB0"/>
      </colorScale>
    </cfRule>
  </conditionalFormatting>
  <conditionalFormatting sqref="I4:I23">
    <cfRule type="colorScale" priority="2">
      <colorScale>
        <cfvo type="min"/>
        <cfvo type="num" val="0"/>
        <cfvo type="max"/>
        <color rgb="00FF5C5C"/>
        <color rgb="00333333"/>
        <color rgb="003CEFB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/>
  </sheetPr>
  <dimension ref="A1:J20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5" customWidth="1" min="4" max="4"/>
    <col width="16" customWidth="1" min="5" max="5"/>
    <col width="15" customWidth="1" min="6" max="6"/>
    <col width="16" customWidth="1" min="7" max="7"/>
    <col width="15" customWidth="1" min="8" max="8"/>
    <col width="14" customWidth="1" min="9" max="9"/>
    <col width="28" customWidth="1" min="10" max="10"/>
  </cols>
  <sheetData>
    <row r="1" ht="36" customHeight="1">
      <c r="A1" s="65" t="inlineStr">
        <is>
          <t>📊  Crypto  —  Stock &amp; ETF Tracker</t>
        </is>
      </c>
    </row>
    <row r="2" ht="18" customHeight="1">
      <c r="A2" s="29" t="inlineStr">
        <is>
          <t>Blue = hardcoded inputs (edit these)  |  Black = formulas (auto-calculated)  |  Green = cross-sheet links</t>
        </is>
      </c>
    </row>
    <row r="3" ht="28" customHeight="1">
      <c r="A3" s="66" t="inlineStr">
        <is>
          <t>Ticker</t>
        </is>
      </c>
      <c r="B3" s="66" t="inlineStr">
        <is>
          <t>Company / Name</t>
        </is>
      </c>
      <c r="C3" s="66" t="inlineStr">
        <is>
          <t>Shares</t>
        </is>
      </c>
      <c r="D3" s="66" t="inlineStr">
        <is>
          <t>Buy Price ($)</t>
        </is>
      </c>
      <c r="E3" s="66" t="inlineStr">
        <is>
          <t>Current Price ($)</t>
        </is>
      </c>
      <c r="F3" s="66" t="inlineStr">
        <is>
          <t>Total Cost ($)</t>
        </is>
      </c>
      <c r="G3" s="66" t="inlineStr">
        <is>
          <t>Current Value ($)</t>
        </is>
      </c>
      <c r="H3" s="66" t="inlineStr">
        <is>
          <t>Gain / Loss ($)</t>
        </is>
      </c>
      <c r="I3" s="66" t="inlineStr">
        <is>
          <t>Gain / Loss (%)</t>
        </is>
      </c>
      <c r="J3" s="66" t="inlineStr">
        <is>
          <t>Notes</t>
        </is>
      </c>
    </row>
    <row r="4" ht="22" customHeight="1">
      <c r="A4" s="44" t="n"/>
      <c r="B4" s="45" t="n"/>
      <c r="C4" s="46" t="n"/>
      <c r="D4" s="46" t="n"/>
      <c r="E4" s="46" t="n"/>
      <c r="F4" s="45" t="n"/>
      <c r="G4" s="45" t="n"/>
      <c r="H4" s="45" t="n"/>
      <c r="I4" s="45" t="n"/>
      <c r="J4" s="45" t="n"/>
    </row>
    <row r="5" ht="22" customHeight="1">
      <c r="A5" s="41" t="n"/>
      <c r="B5" s="42" t="n"/>
      <c r="C5" s="43" t="n"/>
      <c r="D5" s="43" t="n"/>
      <c r="E5" s="43" t="n"/>
      <c r="F5" s="42" t="n"/>
      <c r="G5" s="42" t="n"/>
      <c r="H5" s="42" t="n"/>
      <c r="I5" s="42" t="n"/>
      <c r="J5" s="42" t="n"/>
    </row>
    <row r="6" ht="22" customHeight="1">
      <c r="A6" s="44" t="n"/>
      <c r="B6" s="45" t="n"/>
      <c r="C6" s="46" t="n"/>
      <c r="D6" s="46" t="n"/>
      <c r="E6" s="46" t="n"/>
      <c r="F6" s="45" t="n"/>
      <c r="G6" s="45" t="n"/>
      <c r="H6" s="45" t="n"/>
      <c r="I6" s="45" t="n"/>
      <c r="J6" s="45" t="n"/>
    </row>
    <row r="7" ht="22" customHeight="1">
      <c r="A7" s="41" t="n"/>
      <c r="B7" s="42" t="n"/>
      <c r="C7" s="43" t="n"/>
      <c r="D7" s="43" t="n"/>
      <c r="E7" s="43" t="n"/>
      <c r="F7" s="42" t="n"/>
      <c r="G7" s="42" t="n"/>
      <c r="H7" s="42" t="n"/>
      <c r="I7" s="42" t="n"/>
      <c r="J7" s="42" t="n"/>
    </row>
    <row r="8" ht="22" customHeight="1">
      <c r="A8" s="44" t="n"/>
      <c r="B8" s="45" t="n"/>
      <c r="C8" s="46" t="n"/>
      <c r="D8" s="46" t="n"/>
      <c r="E8" s="46" t="n"/>
      <c r="F8" s="45" t="n"/>
      <c r="G8" s="45" t="n"/>
      <c r="H8" s="45" t="n"/>
      <c r="I8" s="45" t="n"/>
      <c r="J8" s="45" t="n"/>
    </row>
    <row r="9" ht="22" customHeight="1">
      <c r="A9" s="41" t="n"/>
      <c r="B9" s="42" t="n"/>
      <c r="C9" s="43" t="n"/>
      <c r="D9" s="43" t="n"/>
      <c r="E9" s="43" t="n"/>
      <c r="F9" s="42" t="n"/>
      <c r="G9" s="42" t="n"/>
      <c r="H9" s="42" t="n"/>
      <c r="I9" s="42" t="n"/>
      <c r="J9" s="42" t="n"/>
    </row>
    <row r="10" ht="22" customHeight="1">
      <c r="A10" s="44" t="n"/>
      <c r="B10" s="45" t="n"/>
      <c r="C10" s="46" t="n"/>
      <c r="D10" s="46" t="n"/>
      <c r="E10" s="46" t="n"/>
      <c r="F10" s="45" t="n"/>
      <c r="G10" s="45" t="n"/>
      <c r="H10" s="45" t="n"/>
      <c r="I10" s="45" t="n"/>
      <c r="J10" s="45" t="n"/>
    </row>
    <row r="11" ht="22" customHeight="1">
      <c r="A11" s="41" t="n"/>
      <c r="B11" s="42" t="n"/>
      <c r="C11" s="43" t="n"/>
      <c r="D11" s="43" t="n"/>
      <c r="E11" s="43" t="n"/>
      <c r="F11" s="42" t="n"/>
      <c r="G11" s="42" t="n"/>
      <c r="H11" s="42" t="n"/>
      <c r="I11" s="42" t="n"/>
      <c r="J11" s="42" t="n"/>
    </row>
    <row r="12" ht="22" customHeight="1">
      <c r="A12" s="44" t="n"/>
      <c r="B12" s="45" t="n"/>
      <c r="C12" s="46" t="n"/>
      <c r="D12" s="46" t="n"/>
      <c r="E12" s="46" t="n"/>
      <c r="F12" s="45" t="n"/>
      <c r="G12" s="45" t="n"/>
      <c r="H12" s="45" t="n"/>
      <c r="I12" s="45" t="n"/>
      <c r="J12" s="45" t="n"/>
    </row>
    <row r="13" ht="22" customHeight="1">
      <c r="A13" s="41" t="n"/>
      <c r="B13" s="42" t="n"/>
      <c r="C13" s="43" t="n"/>
      <c r="D13" s="43" t="n"/>
      <c r="E13" s="43" t="n"/>
      <c r="F13" s="42" t="n"/>
      <c r="G13" s="42" t="n"/>
      <c r="H13" s="42" t="n"/>
      <c r="I13" s="42" t="n"/>
      <c r="J13" s="42" t="n"/>
    </row>
    <row r="14" ht="22" customHeight="1">
      <c r="A14" s="44" t="n"/>
      <c r="B14" s="45" t="n"/>
      <c r="C14" s="46" t="n"/>
      <c r="D14" s="46" t="n"/>
      <c r="E14" s="46" t="n"/>
      <c r="F14" s="45" t="n"/>
      <c r="G14" s="45" t="n"/>
      <c r="H14" s="45" t="n"/>
      <c r="I14" s="45" t="n"/>
      <c r="J14" s="45" t="n"/>
    </row>
    <row r="15" ht="22" customHeight="1">
      <c r="A15" s="41" t="n"/>
      <c r="B15" s="42" t="n"/>
      <c r="C15" s="43" t="n"/>
      <c r="D15" s="43" t="n"/>
      <c r="E15" s="43" t="n"/>
      <c r="F15" s="42" t="n"/>
      <c r="G15" s="42" t="n"/>
      <c r="H15" s="42" t="n"/>
      <c r="I15" s="42" t="n"/>
      <c r="J15" s="42" t="n"/>
    </row>
    <row r="16" ht="22" customHeight="1">
      <c r="A16" s="44" t="n"/>
      <c r="B16" s="45" t="n"/>
      <c r="C16" s="46" t="n"/>
      <c r="D16" s="46" t="n"/>
      <c r="E16" s="46" t="n"/>
      <c r="F16" s="45" t="n"/>
      <c r="G16" s="45" t="n"/>
      <c r="H16" s="45" t="n"/>
      <c r="I16" s="45" t="n"/>
      <c r="J16" s="45" t="n"/>
    </row>
    <row r="17" ht="22" customHeight="1">
      <c r="A17" s="41" t="n"/>
      <c r="B17" s="42" t="n"/>
      <c r="C17" s="43" t="n"/>
      <c r="D17" s="43" t="n"/>
      <c r="E17" s="43" t="n"/>
      <c r="F17" s="42" t="n"/>
      <c r="G17" s="42" t="n"/>
      <c r="H17" s="42" t="n"/>
      <c r="I17" s="42" t="n"/>
      <c r="J17" s="42" t="n"/>
    </row>
    <row r="18" ht="22" customHeight="1">
      <c r="A18" s="44" t="n"/>
      <c r="B18" s="45" t="n"/>
      <c r="C18" s="46" t="n"/>
      <c r="D18" s="46" t="n"/>
      <c r="E18" s="46" t="n"/>
      <c r="F18" s="45" t="n"/>
      <c r="G18" s="45" t="n"/>
      <c r="H18" s="45" t="n"/>
      <c r="I18" s="45" t="n"/>
      <c r="J18" s="45" t="n"/>
    </row>
    <row r="19" ht="22" customHeight="1">
      <c r="A19" s="41" t="n"/>
      <c r="B19" s="42" t="n"/>
      <c r="C19" s="43" t="n"/>
      <c r="D19" s="43" t="n"/>
      <c r="E19" s="43" t="n"/>
      <c r="F19" s="42" t="n"/>
      <c r="G19" s="42" t="n"/>
      <c r="H19" s="42" t="n"/>
      <c r="I19" s="42" t="n"/>
      <c r="J19" s="42" t="n"/>
    </row>
    <row r="20" ht="22" customHeight="1">
      <c r="A20" s="44" t="n"/>
      <c r="B20" s="45" t="n"/>
      <c r="C20" s="46" t="n"/>
      <c r="D20" s="46" t="n"/>
      <c r="E20" s="46" t="n"/>
      <c r="F20" s="45" t="n"/>
      <c r="G20" s="45" t="n"/>
      <c r="H20" s="45" t="n"/>
      <c r="I20" s="45" t="n"/>
      <c r="J20" s="45" t="n"/>
    </row>
    <row r="21" ht="22" customHeight="1">
      <c r="A21" s="41" t="n"/>
      <c r="B21" s="42" t="n"/>
      <c r="C21" s="43" t="n"/>
      <c r="D21" s="43" t="n"/>
      <c r="E21" s="43" t="n"/>
      <c r="F21" s="42" t="n"/>
      <c r="G21" s="42" t="n"/>
      <c r="H21" s="42" t="n"/>
      <c r="I21" s="42" t="n"/>
      <c r="J21" s="42" t="n"/>
    </row>
    <row r="22" ht="22" customHeight="1">
      <c r="A22" s="44" t="n"/>
      <c r="B22" s="45" t="n"/>
      <c r="C22" s="46" t="n"/>
      <c r="D22" s="46" t="n"/>
      <c r="E22" s="46" t="n"/>
      <c r="F22" s="45" t="n"/>
      <c r="G22" s="45" t="n"/>
      <c r="H22" s="45" t="n"/>
      <c r="I22" s="45" t="n"/>
      <c r="J22" s="45" t="n"/>
    </row>
    <row r="23" ht="22" customHeight="1">
      <c r="A23" s="41" t="n"/>
      <c r="B23" s="42" t="n"/>
      <c r="C23" s="43" t="n"/>
      <c r="D23" s="43" t="n"/>
      <c r="E23" s="43" t="n"/>
      <c r="F23" s="42" t="n"/>
      <c r="G23" s="42" t="n"/>
      <c r="H23" s="42" t="n"/>
      <c r="I23" s="42" t="n"/>
      <c r="J23" s="42" t="n"/>
    </row>
    <row r="24" ht="26" customHeight="1">
      <c r="A24" s="67" t="inlineStr">
        <is>
          <t>TOTALS</t>
        </is>
      </c>
      <c r="F24" s="68">
        <f>SUMIF(F4:F23,"&lt;&gt;",F4:F23)</f>
        <v/>
      </c>
      <c r="G24" s="68">
        <f>SUMIF(G4:G23,"&lt;&gt;",G4:G23)</f>
        <v/>
      </c>
      <c r="H24" s="68">
        <f>SUMIF(H4:H23,"&lt;&gt;",H4:H23)</f>
        <v/>
      </c>
      <c r="I24" s="69">
        <f>IF(F24=0,"",H24/F24)</f>
        <v/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</row>
    <row r="27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</row>
    <row r="28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</row>
    <row r="47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</row>
    <row r="48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</row>
    <row r="49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</row>
    <row r="50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</row>
    <row r="51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</row>
    <row r="52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</row>
    <row r="60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</row>
    <row r="70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</row>
    <row r="7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</row>
    <row r="72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</row>
    <row r="73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</row>
    <row r="74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</row>
    <row r="7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</row>
    <row r="7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</row>
    <row r="77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</row>
    <row r="79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</row>
    <row r="80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</row>
    <row r="8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</row>
    <row r="82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</row>
    <row r="83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</row>
    <row r="84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</row>
    <row r="8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</row>
    <row r="8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</row>
    <row r="87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</row>
    <row r="88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</row>
    <row r="89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</row>
    <row r="90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</row>
    <row r="91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</row>
    <row r="93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</row>
    <row r="94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</row>
    <row r="9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</row>
    <row r="9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</row>
    <row r="97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</row>
    <row r="98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</row>
    <row r="99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</row>
    <row r="100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</row>
    <row r="101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</row>
    <row r="103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</row>
    <row r="104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</row>
    <row r="10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</row>
    <row r="10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</row>
    <row r="108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</row>
    <row r="109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</row>
    <row r="110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</row>
    <row r="111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</row>
    <row r="112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</row>
    <row r="113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</row>
    <row r="1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</row>
    <row r="11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</row>
    <row r="117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</row>
    <row r="118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</row>
    <row r="119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</row>
    <row r="120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</row>
    <row r="121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</row>
    <row r="122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</row>
    <row r="123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</row>
    <row r="124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</row>
    <row r="12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</row>
    <row r="12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</row>
    <row r="127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</row>
    <row r="128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</row>
    <row r="129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</row>
    <row r="130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</row>
    <row r="131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</row>
    <row r="132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</row>
    <row r="133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</row>
    <row r="134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</row>
    <row r="13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</row>
    <row r="13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</row>
    <row r="137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</row>
    <row r="138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</row>
    <row r="139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</row>
    <row r="140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</row>
    <row r="141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</row>
    <row r="142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</row>
    <row r="143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</row>
    <row r="144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</row>
    <row r="14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</row>
    <row r="14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</row>
    <row r="147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</row>
    <row r="148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</row>
    <row r="149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</row>
    <row r="150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</row>
    <row r="151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</row>
    <row r="152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</row>
    <row r="153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</row>
    <row r="154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</row>
    <row r="15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</row>
    <row r="15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</row>
    <row r="157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</row>
    <row r="158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</row>
    <row r="159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</row>
    <row r="160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</row>
    <row r="161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</row>
    <row r="162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</row>
    <row r="163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</row>
    <row r="164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</row>
    <row r="16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</row>
    <row r="1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</row>
    <row r="167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</row>
    <row r="168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</row>
    <row r="169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</row>
    <row r="170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</row>
    <row r="171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</row>
    <row r="172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</row>
    <row r="173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</row>
    <row r="174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</row>
    <row r="17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</row>
    <row r="17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</row>
    <row r="177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</row>
    <row r="178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</row>
    <row r="179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</row>
    <row r="180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</row>
    <row r="181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</row>
    <row r="182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</row>
    <row r="183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</row>
    <row r="184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</row>
    <row r="18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</row>
    <row r="18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</row>
    <row r="187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</row>
    <row r="188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</row>
    <row r="189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</row>
    <row r="190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</row>
    <row r="191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</row>
    <row r="192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</row>
    <row r="193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</row>
    <row r="194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</row>
    <row r="19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</row>
    <row r="19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</row>
    <row r="197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</row>
    <row r="198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</row>
    <row r="199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</row>
    <row r="200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</row>
  </sheetData>
  <mergeCells count="3">
    <mergeCell ref="A1:J1"/>
    <mergeCell ref="A24:E24"/>
    <mergeCell ref="A2:J2"/>
  </mergeCells>
  <conditionalFormatting sqref="H4:H23">
    <cfRule type="colorScale" priority="1">
      <colorScale>
        <cfvo type="min"/>
        <cfvo type="num" val="0"/>
        <cfvo type="max"/>
        <color rgb="00FF5C5C"/>
        <color rgb="00333333"/>
        <color rgb="003CEFB0"/>
      </colorScale>
    </cfRule>
  </conditionalFormatting>
  <conditionalFormatting sqref="I4:I23">
    <cfRule type="colorScale" priority="2">
      <colorScale>
        <cfvo type="min"/>
        <cfvo type="num" val="0"/>
        <cfvo type="max"/>
        <color rgb="00FF5C5C"/>
        <color rgb="00333333"/>
        <color rgb="003CEFB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8C42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4" customWidth="1" min="4" max="4"/>
    <col width="10" customWidth="1" min="5" max="5"/>
    <col width="30" customWidth="1" min="6" max="6"/>
  </cols>
  <sheetData>
    <row r="1" ht="36" customHeight="1">
      <c r="A1" s="70" t="inlineStr">
        <is>
          <t>📅  Price Update Log — Track every price entry here</t>
        </is>
      </c>
    </row>
    <row r="2" ht="18" customHeight="1">
      <c r="A2" s="6" t="inlineStr">
        <is>
          <t>Enter date, market sheet, ticker, and price. This creates a manual audit trail.</t>
        </is>
      </c>
    </row>
    <row r="3" ht="26" customHeight="1">
      <c r="A3" s="61" t="inlineStr">
        <is>
          <t>Date</t>
        </is>
      </c>
      <c r="B3" s="61" t="inlineStr">
        <is>
          <t>Market Sheet</t>
        </is>
      </c>
      <c r="C3" s="61" t="inlineStr">
        <is>
          <t>Ticker</t>
        </is>
      </c>
      <c r="D3" s="61" t="inlineStr">
        <is>
          <t>Price ($)</t>
        </is>
      </c>
      <c r="E3" s="61" t="inlineStr">
        <is>
          <t>Shares</t>
        </is>
      </c>
      <c r="F3" s="61" t="inlineStr">
        <is>
          <t>Notes</t>
        </is>
      </c>
    </row>
    <row r="4" ht="20" customHeight="1">
      <c r="A4" s="71" t="n"/>
      <c r="B4" s="72" t="n"/>
      <c r="C4" s="71" t="n"/>
      <c r="D4" s="33" t="n"/>
      <c r="E4" s="32" t="n"/>
      <c r="F4" s="72" t="n"/>
    </row>
    <row r="5" ht="20" customHeight="1">
      <c r="A5" s="73" t="n"/>
      <c r="B5" s="74" t="n"/>
      <c r="C5" s="73" t="n"/>
      <c r="D5" s="39" t="n"/>
      <c r="E5" s="38" t="n"/>
      <c r="F5" s="74" t="n"/>
    </row>
    <row r="6" ht="20" customHeight="1">
      <c r="A6" s="71" t="n"/>
      <c r="B6" s="72" t="n"/>
      <c r="C6" s="71" t="n"/>
      <c r="D6" s="33" t="n"/>
      <c r="E6" s="32" t="n"/>
      <c r="F6" s="72" t="n"/>
    </row>
    <row r="7" ht="20" customHeight="1">
      <c r="A7" s="73" t="n"/>
      <c r="B7" s="74" t="n"/>
      <c r="C7" s="73" t="n"/>
      <c r="D7" s="39" t="n"/>
      <c r="E7" s="38" t="n"/>
      <c r="F7" s="74" t="n"/>
    </row>
    <row r="8" ht="20" customHeight="1">
      <c r="A8" s="71" t="n"/>
      <c r="B8" s="72" t="n"/>
      <c r="C8" s="71" t="n"/>
      <c r="D8" s="33" t="n"/>
      <c r="E8" s="32" t="n"/>
      <c r="F8" s="72" t="n"/>
    </row>
    <row r="9" ht="20" customHeight="1">
      <c r="A9" s="73" t="n"/>
      <c r="B9" s="74" t="n"/>
      <c r="C9" s="73" t="n"/>
      <c r="D9" s="39" t="n"/>
      <c r="E9" s="38" t="n"/>
      <c r="F9" s="74" t="n"/>
    </row>
    <row r="10" ht="20" customHeight="1">
      <c r="A10" s="71" t="n"/>
      <c r="B10" s="72" t="n"/>
      <c r="C10" s="71" t="n"/>
      <c r="D10" s="33" t="n"/>
      <c r="E10" s="32" t="n"/>
      <c r="F10" s="72" t="n"/>
    </row>
    <row r="11" ht="20" customHeight="1">
      <c r="A11" s="73" t="n"/>
      <c r="B11" s="74" t="n"/>
      <c r="C11" s="73" t="n"/>
      <c r="D11" s="39" t="n"/>
      <c r="E11" s="38" t="n"/>
      <c r="F11" s="74" t="n"/>
    </row>
    <row r="12" ht="20" customHeight="1">
      <c r="A12" s="71" t="n"/>
      <c r="B12" s="72" t="n"/>
      <c r="C12" s="71" t="n"/>
      <c r="D12" s="33" t="n"/>
      <c r="E12" s="32" t="n"/>
      <c r="F12" s="72" t="n"/>
    </row>
    <row r="13" ht="20" customHeight="1">
      <c r="A13" s="73" t="n"/>
      <c r="B13" s="74" t="n"/>
      <c r="C13" s="73" t="n"/>
      <c r="D13" s="39" t="n"/>
      <c r="E13" s="38" t="n"/>
      <c r="F13" s="74" t="n"/>
    </row>
    <row r="14" ht="20" customHeight="1">
      <c r="A14" s="71" t="n"/>
      <c r="B14" s="72" t="n"/>
      <c r="C14" s="71" t="n"/>
      <c r="D14" s="33" t="n"/>
      <c r="E14" s="32" t="n"/>
      <c r="F14" s="72" t="n"/>
    </row>
    <row r="15" ht="20" customHeight="1">
      <c r="A15" s="73" t="n"/>
      <c r="B15" s="74" t="n"/>
      <c r="C15" s="73" t="n"/>
      <c r="D15" s="39" t="n"/>
      <c r="E15" s="38" t="n"/>
      <c r="F15" s="74" t="n"/>
    </row>
    <row r="16" ht="20" customHeight="1">
      <c r="A16" s="71" t="n"/>
      <c r="B16" s="72" t="n"/>
      <c r="C16" s="71" t="n"/>
      <c r="D16" s="33" t="n"/>
      <c r="E16" s="32" t="n"/>
      <c r="F16" s="72" t="n"/>
    </row>
    <row r="17" ht="20" customHeight="1">
      <c r="A17" s="73" t="n"/>
      <c r="B17" s="74" t="n"/>
      <c r="C17" s="73" t="n"/>
      <c r="D17" s="39" t="n"/>
      <c r="E17" s="38" t="n"/>
      <c r="F17" s="74" t="n"/>
    </row>
    <row r="18" ht="20" customHeight="1">
      <c r="A18" s="71" t="n"/>
      <c r="B18" s="72" t="n"/>
      <c r="C18" s="71" t="n"/>
      <c r="D18" s="33" t="n"/>
      <c r="E18" s="32" t="n"/>
      <c r="F18" s="72" t="n"/>
    </row>
    <row r="19" ht="20" customHeight="1">
      <c r="A19" s="73" t="n"/>
      <c r="B19" s="74" t="n"/>
      <c r="C19" s="73" t="n"/>
      <c r="D19" s="39" t="n"/>
      <c r="E19" s="38" t="n"/>
      <c r="F19" s="74" t="n"/>
    </row>
    <row r="20" ht="20" customHeight="1">
      <c r="A20" s="71" t="n"/>
      <c r="B20" s="72" t="n"/>
      <c r="C20" s="71" t="n"/>
      <c r="D20" s="33" t="n"/>
      <c r="E20" s="32" t="n"/>
      <c r="F20" s="72" t="n"/>
    </row>
    <row r="21" ht="20" customHeight="1">
      <c r="A21" s="73" t="n"/>
      <c r="B21" s="74" t="n"/>
      <c r="C21" s="73" t="n"/>
      <c r="D21" s="39" t="n"/>
      <c r="E21" s="38" t="n"/>
      <c r="F21" s="74" t="n"/>
    </row>
    <row r="22" ht="20" customHeight="1">
      <c r="A22" s="71" t="n"/>
      <c r="B22" s="72" t="n"/>
      <c r="C22" s="71" t="n"/>
      <c r="D22" s="33" t="n"/>
      <c r="E22" s="32" t="n"/>
      <c r="F22" s="72" t="n"/>
    </row>
    <row r="23" ht="20" customHeight="1">
      <c r="A23" s="73" t="n"/>
      <c r="B23" s="74" t="n"/>
      <c r="C23" s="73" t="n"/>
      <c r="D23" s="39" t="n"/>
      <c r="E23" s="38" t="n"/>
      <c r="F23" s="74" t="n"/>
    </row>
    <row r="24" ht="20" customHeight="1">
      <c r="A24" s="71" t="n"/>
      <c r="B24" s="72" t="n"/>
      <c r="C24" s="71" t="n"/>
      <c r="D24" s="33" t="n"/>
      <c r="E24" s="32" t="n"/>
      <c r="F24" s="72" t="n"/>
    </row>
    <row r="25" ht="20" customHeight="1">
      <c r="A25" s="73" t="n"/>
      <c r="B25" s="74" t="n"/>
      <c r="C25" s="73" t="n"/>
      <c r="D25" s="39" t="n"/>
      <c r="E25" s="38" t="n"/>
      <c r="F25" s="74" t="n"/>
    </row>
    <row r="26" ht="20" customHeight="1">
      <c r="A26" s="71" t="n"/>
      <c r="B26" s="72" t="n"/>
      <c r="C26" s="71" t="n"/>
      <c r="D26" s="33" t="n"/>
      <c r="E26" s="32" t="n"/>
      <c r="F26" s="72" t="n"/>
    </row>
    <row r="27" ht="20" customHeight="1">
      <c r="A27" s="73" t="n"/>
      <c r="B27" s="74" t="n"/>
      <c r="C27" s="73" t="n"/>
      <c r="D27" s="39" t="n"/>
      <c r="E27" s="38" t="n"/>
      <c r="F27" s="74" t="n"/>
    </row>
    <row r="28" ht="20" customHeight="1">
      <c r="A28" s="71" t="n"/>
      <c r="B28" s="72" t="n"/>
      <c r="C28" s="71" t="n"/>
      <c r="D28" s="33" t="n"/>
      <c r="E28" s="32" t="n"/>
      <c r="F28" s="72" t="n"/>
    </row>
    <row r="29" ht="20" customHeight="1">
      <c r="A29" s="73" t="n"/>
      <c r="B29" s="74" t="n"/>
      <c r="C29" s="73" t="n"/>
      <c r="D29" s="39" t="n"/>
      <c r="E29" s="38" t="n"/>
      <c r="F29" s="74" t="n"/>
    </row>
    <row r="30" ht="20" customHeight="1">
      <c r="A30" s="71" t="n"/>
      <c r="B30" s="72" t="n"/>
      <c r="C30" s="71" t="n"/>
      <c r="D30" s="33" t="n"/>
      <c r="E30" s="32" t="n"/>
      <c r="F30" s="72" t="n"/>
    </row>
    <row r="31" ht="20" customHeight="1">
      <c r="A31" s="73" t="n"/>
      <c r="B31" s="74" t="n"/>
      <c r="C31" s="73" t="n"/>
      <c r="D31" s="39" t="n"/>
      <c r="E31" s="38" t="n"/>
      <c r="F31" s="74" t="n"/>
    </row>
    <row r="32" ht="20" customHeight="1">
      <c r="A32" s="71" t="n"/>
      <c r="B32" s="72" t="n"/>
      <c r="C32" s="71" t="n"/>
      <c r="D32" s="33" t="n"/>
      <c r="E32" s="32" t="n"/>
      <c r="F32" s="72" t="n"/>
    </row>
    <row r="33" ht="20" customHeight="1">
      <c r="A33" s="73" t="n"/>
      <c r="B33" s="74" t="n"/>
      <c r="C33" s="73" t="n"/>
      <c r="D33" s="39" t="n"/>
      <c r="E33" s="38" t="n"/>
      <c r="F33" s="74" t="n"/>
    </row>
    <row r="34" ht="20" customHeight="1">
      <c r="A34" s="71" t="n"/>
      <c r="B34" s="72" t="n"/>
      <c r="C34" s="71" t="n"/>
      <c r="D34" s="33" t="n"/>
      <c r="E34" s="32" t="n"/>
      <c r="F34" s="72" t="n"/>
    </row>
    <row r="35" ht="20" customHeight="1">
      <c r="A35" s="73" t="n"/>
      <c r="B35" s="74" t="n"/>
      <c r="C35" s="73" t="n"/>
      <c r="D35" s="39" t="n"/>
      <c r="E35" s="38" t="n"/>
      <c r="F35" s="74" t="n"/>
    </row>
    <row r="36" ht="20" customHeight="1">
      <c r="A36" s="71" t="n"/>
      <c r="B36" s="72" t="n"/>
      <c r="C36" s="71" t="n"/>
      <c r="D36" s="33" t="n"/>
      <c r="E36" s="32" t="n"/>
      <c r="F36" s="72" t="n"/>
    </row>
    <row r="37" ht="20" customHeight="1">
      <c r="A37" s="73" t="n"/>
      <c r="B37" s="74" t="n"/>
      <c r="C37" s="73" t="n"/>
      <c r="D37" s="39" t="n"/>
      <c r="E37" s="38" t="n"/>
      <c r="F37" s="74" t="n"/>
    </row>
    <row r="38" ht="20" customHeight="1">
      <c r="A38" s="71" t="n"/>
      <c r="B38" s="72" t="n"/>
      <c r="C38" s="71" t="n"/>
      <c r="D38" s="33" t="n"/>
      <c r="E38" s="32" t="n"/>
      <c r="F38" s="72" t="n"/>
    </row>
    <row r="39" ht="20" customHeight="1">
      <c r="A39" s="73" t="n"/>
      <c r="B39" s="74" t="n"/>
      <c r="C39" s="73" t="n"/>
      <c r="D39" s="39" t="n"/>
      <c r="E39" s="38" t="n"/>
      <c r="F39" s="74" t="n"/>
    </row>
    <row r="40" ht="20" customHeight="1">
      <c r="A40" s="71" t="n"/>
      <c r="B40" s="72" t="n"/>
      <c r="C40" s="71" t="n"/>
      <c r="D40" s="33" t="n"/>
      <c r="E40" s="32" t="n"/>
      <c r="F40" s="72" t="n"/>
    </row>
    <row r="41" ht="20" customHeight="1">
      <c r="A41" s="73" t="n"/>
      <c r="B41" s="74" t="n"/>
      <c r="C41" s="73" t="n"/>
      <c r="D41" s="39" t="n"/>
      <c r="E41" s="38" t="n"/>
      <c r="F41" s="74" t="n"/>
    </row>
    <row r="42" ht="20" customHeight="1">
      <c r="A42" s="71" t="n"/>
      <c r="B42" s="72" t="n"/>
      <c r="C42" s="71" t="n"/>
      <c r="D42" s="33" t="n"/>
      <c r="E42" s="32" t="n"/>
      <c r="F42" s="72" t="n"/>
    </row>
    <row r="43" ht="20" customHeight="1">
      <c r="A43" s="73" t="n"/>
      <c r="B43" s="74" t="n"/>
      <c r="C43" s="73" t="n"/>
      <c r="D43" s="39" t="n"/>
      <c r="E43" s="38" t="n"/>
      <c r="F43" s="74" t="n"/>
    </row>
    <row r="44" ht="20" customHeight="1">
      <c r="A44" s="71" t="n"/>
      <c r="B44" s="72" t="n"/>
      <c r="C44" s="71" t="n"/>
      <c r="D44" s="33" t="n"/>
      <c r="E44" s="32" t="n"/>
      <c r="F44" s="72" t="n"/>
    </row>
    <row r="45" ht="20" customHeight="1">
      <c r="A45" s="73" t="n"/>
      <c r="B45" s="74" t="n"/>
      <c r="C45" s="73" t="n"/>
      <c r="D45" s="39" t="n"/>
      <c r="E45" s="38" t="n"/>
      <c r="F45" s="74" t="n"/>
    </row>
    <row r="46" ht="20" customHeight="1">
      <c r="A46" s="71" t="n"/>
      <c r="B46" s="72" t="n"/>
      <c r="C46" s="71" t="n"/>
      <c r="D46" s="33" t="n"/>
      <c r="E46" s="32" t="n"/>
      <c r="F46" s="72" t="n"/>
    </row>
    <row r="47" ht="20" customHeight="1">
      <c r="A47" s="73" t="n"/>
      <c r="B47" s="74" t="n"/>
      <c r="C47" s="73" t="n"/>
      <c r="D47" s="39" t="n"/>
      <c r="E47" s="38" t="n"/>
      <c r="F47" s="74" t="n"/>
    </row>
    <row r="48" ht="20" customHeight="1">
      <c r="A48" s="71" t="n"/>
      <c r="B48" s="72" t="n"/>
      <c r="C48" s="71" t="n"/>
      <c r="D48" s="33" t="n"/>
      <c r="E48" s="32" t="n"/>
      <c r="F48" s="72" t="n"/>
    </row>
    <row r="49" ht="20" customHeight="1">
      <c r="A49" s="73" t="n"/>
      <c r="B49" s="74" t="n"/>
      <c r="C49" s="73" t="n"/>
      <c r="D49" s="39" t="n"/>
      <c r="E49" s="38" t="n"/>
      <c r="F49" s="74" t="n"/>
    </row>
    <row r="50" ht="20" customHeight="1">
      <c r="A50" s="71" t="n"/>
      <c r="B50" s="72" t="n"/>
      <c r="C50" s="71" t="n"/>
      <c r="D50" s="33" t="n"/>
      <c r="E50" s="32" t="n"/>
      <c r="F50" s="72" t="n"/>
    </row>
    <row r="51" ht="20" customHeight="1">
      <c r="A51" s="73" t="n"/>
      <c r="B51" s="74" t="n"/>
      <c r="C51" s="73" t="n"/>
      <c r="D51" s="39" t="n"/>
      <c r="E51" s="38" t="n"/>
      <c r="F51" s="74" t="n"/>
    </row>
    <row r="52" ht="20" customHeight="1">
      <c r="A52" s="71" t="n"/>
      <c r="B52" s="72" t="n"/>
      <c r="C52" s="71" t="n"/>
      <c r="D52" s="33" t="n"/>
      <c r="E52" s="32" t="n"/>
      <c r="F52" s="72" t="n"/>
    </row>
    <row r="53" ht="20" customHeight="1">
      <c r="A53" s="73" t="n"/>
      <c r="B53" s="74" t="n"/>
      <c r="C53" s="73" t="n"/>
      <c r="D53" s="39" t="n"/>
      <c r="E53" s="38" t="n"/>
      <c r="F53" s="74" t="n"/>
    </row>
    <row r="54" ht="20" customHeight="1">
      <c r="A54" s="71" t="n"/>
      <c r="B54" s="72" t="n"/>
      <c r="C54" s="71" t="n"/>
      <c r="D54" s="33" t="n"/>
      <c r="E54" s="32" t="n"/>
      <c r="F54" s="72" t="n"/>
    </row>
    <row r="55" ht="20" customHeight="1">
      <c r="A55" s="73" t="n"/>
      <c r="B55" s="74" t="n"/>
      <c r="C55" s="73" t="n"/>
      <c r="D55" s="39" t="n"/>
      <c r="E55" s="38" t="n"/>
      <c r="F55" s="74" t="n"/>
    </row>
    <row r="56" ht="20" customHeight="1">
      <c r="A56" s="71" t="n"/>
      <c r="B56" s="72" t="n"/>
      <c r="C56" s="71" t="n"/>
      <c r="D56" s="33" t="n"/>
      <c r="E56" s="32" t="n"/>
      <c r="F56" s="72" t="n"/>
    </row>
    <row r="57" ht="20" customHeight="1">
      <c r="A57" s="73" t="n"/>
      <c r="B57" s="74" t="n"/>
      <c r="C57" s="73" t="n"/>
      <c r="D57" s="39" t="n"/>
      <c r="E57" s="38" t="n"/>
      <c r="F57" s="74" t="n"/>
    </row>
    <row r="58" ht="20" customHeight="1">
      <c r="A58" s="71" t="n"/>
      <c r="B58" s="72" t="n"/>
      <c r="C58" s="71" t="n"/>
      <c r="D58" s="33" t="n"/>
      <c r="E58" s="32" t="n"/>
      <c r="F58" s="72" t="n"/>
    </row>
    <row r="59" ht="20" customHeight="1">
      <c r="A59" s="73" t="n"/>
      <c r="B59" s="74" t="n"/>
      <c r="C59" s="73" t="n"/>
      <c r="D59" s="39" t="n"/>
      <c r="E59" s="38" t="n"/>
      <c r="F59" s="74" t="n"/>
    </row>
    <row r="60" ht="20" customHeight="1">
      <c r="A60" s="71" t="n"/>
      <c r="B60" s="72" t="n"/>
      <c r="C60" s="71" t="n"/>
      <c r="D60" s="33" t="n"/>
      <c r="E60" s="32" t="n"/>
      <c r="F60" s="72" t="n"/>
    </row>
    <row r="61" ht="20" customHeight="1">
      <c r="A61" s="73" t="n"/>
      <c r="B61" s="74" t="n"/>
      <c r="C61" s="73" t="n"/>
      <c r="D61" s="39" t="n"/>
      <c r="E61" s="38" t="n"/>
      <c r="F61" s="74" t="n"/>
    </row>
    <row r="62" ht="20" customHeight="1">
      <c r="A62" s="71" t="n"/>
      <c r="B62" s="72" t="n"/>
      <c r="C62" s="71" t="n"/>
      <c r="D62" s="33" t="n"/>
      <c r="E62" s="32" t="n"/>
      <c r="F62" s="72" t="n"/>
    </row>
    <row r="63" ht="20" customHeight="1">
      <c r="A63" s="73" t="n"/>
      <c r="B63" s="74" t="n"/>
      <c r="C63" s="73" t="n"/>
      <c r="D63" s="39" t="n"/>
      <c r="E63" s="38" t="n"/>
      <c r="F63" s="74" t="n"/>
    </row>
    <row r="64" ht="20" customHeight="1">
      <c r="A64" s="71" t="n"/>
      <c r="B64" s="72" t="n"/>
      <c r="C64" s="71" t="n"/>
      <c r="D64" s="33" t="n"/>
      <c r="E64" s="32" t="n"/>
      <c r="F64" s="72" t="n"/>
    </row>
    <row r="65" ht="20" customHeight="1">
      <c r="A65" s="73" t="n"/>
      <c r="B65" s="74" t="n"/>
      <c r="C65" s="73" t="n"/>
      <c r="D65" s="39" t="n"/>
      <c r="E65" s="38" t="n"/>
      <c r="F65" s="74" t="n"/>
    </row>
    <row r="66" ht="20" customHeight="1">
      <c r="A66" s="71" t="n"/>
      <c r="B66" s="72" t="n"/>
      <c r="C66" s="71" t="n"/>
      <c r="D66" s="33" t="n"/>
      <c r="E66" s="32" t="n"/>
      <c r="F66" s="72" t="n"/>
    </row>
    <row r="67" ht="20" customHeight="1">
      <c r="A67" s="73" t="n"/>
      <c r="B67" s="74" t="n"/>
      <c r="C67" s="73" t="n"/>
      <c r="D67" s="39" t="n"/>
      <c r="E67" s="38" t="n"/>
      <c r="F67" s="74" t="n"/>
    </row>
    <row r="68" ht="20" customHeight="1">
      <c r="A68" s="71" t="n"/>
      <c r="B68" s="72" t="n"/>
      <c r="C68" s="71" t="n"/>
      <c r="D68" s="33" t="n"/>
      <c r="E68" s="32" t="n"/>
      <c r="F68" s="72" t="n"/>
    </row>
    <row r="69" ht="20" customHeight="1">
      <c r="A69" s="73" t="n"/>
      <c r="B69" s="74" t="n"/>
      <c r="C69" s="73" t="n"/>
      <c r="D69" s="39" t="n"/>
      <c r="E69" s="38" t="n"/>
      <c r="F69" s="74" t="n"/>
    </row>
    <row r="70" ht="20" customHeight="1">
      <c r="A70" s="71" t="n"/>
      <c r="B70" s="72" t="n"/>
      <c r="C70" s="71" t="n"/>
      <c r="D70" s="33" t="n"/>
      <c r="E70" s="32" t="n"/>
      <c r="F70" s="72" t="n"/>
    </row>
    <row r="71" ht="20" customHeight="1">
      <c r="A71" s="73" t="n"/>
      <c r="B71" s="74" t="n"/>
      <c r="C71" s="73" t="n"/>
      <c r="D71" s="39" t="n"/>
      <c r="E71" s="38" t="n"/>
      <c r="F71" s="74" t="n"/>
    </row>
    <row r="72" ht="20" customHeight="1">
      <c r="A72" s="71" t="n"/>
      <c r="B72" s="72" t="n"/>
      <c r="C72" s="71" t="n"/>
      <c r="D72" s="33" t="n"/>
      <c r="E72" s="32" t="n"/>
      <c r="F72" s="72" t="n"/>
    </row>
    <row r="73" ht="20" customHeight="1">
      <c r="A73" s="73" t="n"/>
      <c r="B73" s="74" t="n"/>
      <c r="C73" s="73" t="n"/>
      <c r="D73" s="39" t="n"/>
      <c r="E73" s="38" t="n"/>
      <c r="F73" s="74" t="n"/>
    </row>
    <row r="74" ht="20" customHeight="1">
      <c r="A74" s="71" t="n"/>
      <c r="B74" s="72" t="n"/>
      <c r="C74" s="71" t="n"/>
      <c r="D74" s="33" t="n"/>
      <c r="E74" s="32" t="n"/>
      <c r="F74" s="72" t="n"/>
    </row>
    <row r="75" ht="20" customHeight="1">
      <c r="A75" s="73" t="n"/>
      <c r="B75" s="74" t="n"/>
      <c r="C75" s="73" t="n"/>
      <c r="D75" s="39" t="n"/>
      <c r="E75" s="38" t="n"/>
      <c r="F75" s="74" t="n"/>
    </row>
    <row r="76" ht="20" customHeight="1">
      <c r="A76" s="71" t="n"/>
      <c r="B76" s="72" t="n"/>
      <c r="C76" s="71" t="n"/>
      <c r="D76" s="33" t="n"/>
      <c r="E76" s="32" t="n"/>
      <c r="F76" s="72" t="n"/>
    </row>
    <row r="77" ht="20" customHeight="1">
      <c r="A77" s="73" t="n"/>
      <c r="B77" s="74" t="n"/>
      <c r="C77" s="73" t="n"/>
      <c r="D77" s="39" t="n"/>
      <c r="E77" s="38" t="n"/>
      <c r="F77" s="74" t="n"/>
    </row>
    <row r="78" ht="20" customHeight="1">
      <c r="A78" s="71" t="n"/>
      <c r="B78" s="72" t="n"/>
      <c r="C78" s="71" t="n"/>
      <c r="D78" s="33" t="n"/>
      <c r="E78" s="32" t="n"/>
      <c r="F78" s="72" t="n"/>
    </row>
    <row r="79" ht="20" customHeight="1">
      <c r="A79" s="73" t="n"/>
      <c r="B79" s="74" t="n"/>
      <c r="C79" s="73" t="n"/>
      <c r="D79" s="39" t="n"/>
      <c r="E79" s="38" t="n"/>
      <c r="F79" s="74" t="n"/>
    </row>
    <row r="80" ht="20" customHeight="1">
      <c r="A80" s="71" t="n"/>
      <c r="B80" s="72" t="n"/>
      <c r="C80" s="71" t="n"/>
      <c r="D80" s="33" t="n"/>
      <c r="E80" s="32" t="n"/>
      <c r="F80" s="72" t="n"/>
    </row>
    <row r="81" ht="20" customHeight="1">
      <c r="A81" s="73" t="n"/>
      <c r="B81" s="74" t="n"/>
      <c r="C81" s="73" t="n"/>
      <c r="D81" s="39" t="n"/>
      <c r="E81" s="38" t="n"/>
      <c r="F81" s="74" t="n"/>
    </row>
    <row r="82" ht="20" customHeight="1">
      <c r="A82" s="71" t="n"/>
      <c r="B82" s="72" t="n"/>
      <c r="C82" s="71" t="n"/>
      <c r="D82" s="33" t="n"/>
      <c r="E82" s="32" t="n"/>
      <c r="F82" s="72" t="n"/>
    </row>
    <row r="83" ht="20" customHeight="1">
      <c r="A83" s="73" t="n"/>
      <c r="B83" s="74" t="n"/>
      <c r="C83" s="73" t="n"/>
      <c r="D83" s="39" t="n"/>
      <c r="E83" s="38" t="n"/>
      <c r="F83" s="74" t="n"/>
    </row>
    <row r="84" ht="20" customHeight="1">
      <c r="A84" s="71" t="n"/>
      <c r="B84" s="72" t="n"/>
      <c r="C84" s="71" t="n"/>
      <c r="D84" s="33" t="n"/>
      <c r="E84" s="32" t="n"/>
      <c r="F84" s="72" t="n"/>
    </row>
    <row r="85" ht="20" customHeight="1">
      <c r="A85" s="73" t="n"/>
      <c r="B85" s="74" t="n"/>
      <c r="C85" s="73" t="n"/>
      <c r="D85" s="39" t="n"/>
      <c r="E85" s="38" t="n"/>
      <c r="F85" s="74" t="n"/>
    </row>
    <row r="86" ht="20" customHeight="1">
      <c r="A86" s="71" t="n"/>
      <c r="B86" s="72" t="n"/>
      <c r="C86" s="71" t="n"/>
      <c r="D86" s="33" t="n"/>
      <c r="E86" s="32" t="n"/>
      <c r="F86" s="72" t="n"/>
    </row>
    <row r="87" ht="20" customHeight="1">
      <c r="A87" s="73" t="n"/>
      <c r="B87" s="74" t="n"/>
      <c r="C87" s="73" t="n"/>
      <c r="D87" s="39" t="n"/>
      <c r="E87" s="38" t="n"/>
      <c r="F87" s="74" t="n"/>
    </row>
    <row r="88" ht="20" customHeight="1">
      <c r="A88" s="71" t="n"/>
      <c r="B88" s="72" t="n"/>
      <c r="C88" s="71" t="n"/>
      <c r="D88" s="33" t="n"/>
      <c r="E88" s="32" t="n"/>
      <c r="F88" s="72" t="n"/>
    </row>
    <row r="89" ht="20" customHeight="1">
      <c r="A89" s="73" t="n"/>
      <c r="B89" s="74" t="n"/>
      <c r="C89" s="73" t="n"/>
      <c r="D89" s="39" t="n"/>
      <c r="E89" s="38" t="n"/>
      <c r="F89" s="74" t="n"/>
    </row>
    <row r="90" ht="20" customHeight="1">
      <c r="A90" s="71" t="n"/>
      <c r="B90" s="72" t="n"/>
      <c r="C90" s="71" t="n"/>
      <c r="D90" s="33" t="n"/>
      <c r="E90" s="32" t="n"/>
      <c r="F90" s="72" t="n"/>
    </row>
    <row r="91" ht="20" customHeight="1">
      <c r="A91" s="73" t="n"/>
      <c r="B91" s="74" t="n"/>
      <c r="C91" s="73" t="n"/>
      <c r="D91" s="39" t="n"/>
      <c r="E91" s="38" t="n"/>
      <c r="F91" s="74" t="n"/>
    </row>
    <row r="92" ht="20" customHeight="1">
      <c r="A92" s="71" t="n"/>
      <c r="B92" s="72" t="n"/>
      <c r="C92" s="71" t="n"/>
      <c r="D92" s="33" t="n"/>
      <c r="E92" s="32" t="n"/>
      <c r="F92" s="72" t="n"/>
    </row>
    <row r="93" ht="20" customHeight="1">
      <c r="A93" s="73" t="n"/>
      <c r="B93" s="74" t="n"/>
      <c r="C93" s="73" t="n"/>
      <c r="D93" s="39" t="n"/>
      <c r="E93" s="38" t="n"/>
      <c r="F93" s="74" t="n"/>
    </row>
    <row r="94" ht="20" customHeight="1">
      <c r="A94" s="71" t="n"/>
      <c r="B94" s="72" t="n"/>
      <c r="C94" s="71" t="n"/>
      <c r="D94" s="33" t="n"/>
      <c r="E94" s="32" t="n"/>
      <c r="F94" s="72" t="n"/>
    </row>
    <row r="95" ht="20" customHeight="1">
      <c r="A95" s="73" t="n"/>
      <c r="B95" s="74" t="n"/>
      <c r="C95" s="73" t="n"/>
      <c r="D95" s="39" t="n"/>
      <c r="E95" s="38" t="n"/>
      <c r="F95" s="74" t="n"/>
    </row>
    <row r="96" ht="20" customHeight="1">
      <c r="A96" s="71" t="n"/>
      <c r="B96" s="72" t="n"/>
      <c r="C96" s="71" t="n"/>
      <c r="D96" s="33" t="n"/>
      <c r="E96" s="32" t="n"/>
      <c r="F96" s="72" t="n"/>
    </row>
    <row r="97" ht="20" customHeight="1">
      <c r="A97" s="73" t="n"/>
      <c r="B97" s="74" t="n"/>
      <c r="C97" s="73" t="n"/>
      <c r="D97" s="39" t="n"/>
      <c r="E97" s="38" t="n"/>
      <c r="F97" s="74" t="n"/>
    </row>
    <row r="98" ht="20" customHeight="1">
      <c r="A98" s="71" t="n"/>
      <c r="B98" s="72" t="n"/>
      <c r="C98" s="71" t="n"/>
      <c r="D98" s="33" t="n"/>
      <c r="E98" s="32" t="n"/>
      <c r="F98" s="72" t="n"/>
    </row>
    <row r="99" ht="20" customHeight="1">
      <c r="A99" s="73" t="n"/>
      <c r="B99" s="74" t="n"/>
      <c r="C99" s="73" t="n"/>
      <c r="D99" s="39" t="n"/>
      <c r="E99" s="38" t="n"/>
      <c r="F99" s="74" t="n"/>
    </row>
    <row r="100" ht="20" customHeight="1">
      <c r="A100" s="71" t="n"/>
      <c r="B100" s="72" t="n"/>
      <c r="C100" s="71" t="n"/>
      <c r="D100" s="33" t="n"/>
      <c r="E100" s="32" t="n"/>
      <c r="F100" s="72" t="n"/>
    </row>
    <row r="101" ht="20" customHeight="1">
      <c r="A101" s="73" t="n"/>
      <c r="B101" s="74" t="n"/>
      <c r="C101" s="73" t="n"/>
      <c r="D101" s="39" t="n"/>
      <c r="E101" s="38" t="n"/>
      <c r="F101" s="74" t="n"/>
    </row>
    <row r="102" ht="20" customHeight="1">
      <c r="A102" s="71" t="n"/>
      <c r="B102" s="72" t="n"/>
      <c r="C102" s="71" t="n"/>
      <c r="D102" s="33" t="n"/>
      <c r="E102" s="32" t="n"/>
      <c r="F102" s="72" t="n"/>
    </row>
    <row r="103" ht="20" customHeight="1">
      <c r="A103" s="73" t="n"/>
      <c r="B103" s="74" t="n"/>
      <c r="C103" s="73" t="n"/>
      <c r="D103" s="39" t="n"/>
      <c r="E103" s="38" t="n"/>
      <c r="F103" s="74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2026-03-16T20:36:10Z</dcterms:created>
  <dcterms:modified xmlns:dcterms="http://purl.org/dc/terms/" xmlns:xsi="http://www.w3.org/2001/XMLSchema-instance" xsi:type="dcterms:W3CDTF">2026-03-16T20:36:11Z</dcterms:modified>
</cp:coreProperties>
</file>